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10.xml.rels" ContentType="application/vnd.openxmlformats-package.relationships+xml"/>
  <Override PartName="/xl/worksheets/_rels/sheet4.xml.rels" ContentType="application/vnd.openxmlformats-package.relationships+xml"/>
  <Override PartName="/xl/worksheets/_rels/sheet9.xml.rels" ContentType="application/vnd.openxmlformats-package.relationships+xml"/>
  <Override PartName="/xl/worksheets/_rels/sheet8.xml.rels" ContentType="application/vnd.openxmlformats-package.relationships+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eia-me" sheetId="1" state="visible" r:id="rId3"/>
    <sheet name="Megasoft - Prefeituras" sheetId="2" state="visible" r:id="rId4"/>
    <sheet name="Megasoft - Camaras" sheetId="3" state="visible" r:id="rId5"/>
    <sheet name="Megasoft - Outras entidades" sheetId="4" state="visible" r:id="rId6"/>
    <sheet name="Prodata - Prefeituras" sheetId="5" state="visible" r:id="rId7"/>
    <sheet name="Prodata - Camaras" sheetId="6" state="visible" r:id="rId8"/>
    <sheet name="Prodata - Outras entidades" sheetId="7" state="visible" r:id="rId9"/>
    <sheet name="SIGEP - Prefeituras" sheetId="8" state="visible" r:id="rId10"/>
    <sheet name="SIGEP - Camaras" sheetId="9" state="visible" r:id="rId11"/>
    <sheet name="Centi - Camaras" sheetId="10" state="visible" r:id="rId12"/>
  </sheets>
  <definedNames>
    <definedName function="false" hidden="true" localSheetId="9" name="_xlnm._FilterDatabase" vbProcedure="false">'Centi - Camaras'!$A$1:$S$2</definedName>
    <definedName function="false" hidden="true" localSheetId="2" name="_xlnm._FilterDatabase" vbProcedure="false">'Megasoft - Camaras'!$A$1:$S$110</definedName>
    <definedName function="false" hidden="true" localSheetId="3" name="_xlnm._FilterDatabase" vbProcedure="false">'Megasoft - Outras entidades'!$A$1:$S$4</definedName>
    <definedName function="false" hidden="true" localSheetId="1" name="_xlnm._FilterDatabase" vbProcedure="false">'Megasoft - Prefeituras'!$A$1:$S$91</definedName>
    <definedName function="false" hidden="true" localSheetId="5" name="_xlnm._FilterDatabase" vbProcedure="false">'Prodata - Camaras'!$A$1:$S$9</definedName>
    <definedName function="false" hidden="true" localSheetId="6" name="_xlnm._FilterDatabase" vbProcedure="false">'Prodata - Outras entidades'!$A$1:$S$3</definedName>
    <definedName function="false" hidden="true" localSheetId="4" name="_xlnm._FilterDatabase" vbProcedure="false">'Prodata - Prefeituras'!$A$1:$S$14</definedName>
    <definedName function="false" hidden="true" localSheetId="8" name="_xlnm._FilterDatabase" vbProcedure="false">'SIGEP - Camaras'!$A$1:$S$8</definedName>
    <definedName function="false" hidden="true" localSheetId="7" name="_xlnm._FilterDatabase" vbProcedure="false">'SIGEP - Prefeituras'!$A$1:$S$8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<sst xmlns="http://schemas.openxmlformats.org/spreadsheetml/2006/main" count="2645" uniqueCount="879">
  <si>
    <t xml:space="preserve">SIAFIC · Benchmark de precos praticados por concorrentes no setor publico (Goias e Tocantins)</t>
  </si>
  <si>
    <t xml:space="preserve">Fonte dos dados e metodo de busca</t>
  </si>
  <si>
    <t xml:space="preserve">Portal Nacional de Contratacoes Publicas (PNCP) - busca por palavra-chave (parametro 'q' do buscador pncp.gov.br/app/contratos),</t>
  </si>
  <si>
    <t xml:space="preserve">com confirmacao individual de cada contrato via API oficial (pncp.gov.br/api/pncp/v1/orgaos/{cnpj}/contratos/{ano}/{sequencial}),</t>
  </si>
  <si>
    <t xml:space="preserve">que retorna o CNPJ e a razao social do fornecedor real de cada contrato - a busca textual do PNCP traz muitos falsos positivos (nomes</t>
  </si>
  <si>
    <t xml:space="preserve">parecidos, empresas homonimas, ou contratos de outra empresa que so cita o nome do sistema no objeto), entao cada contrato encontrado foi</t>
  </si>
  <si>
    <t xml:space="preserve">aberto individualmente para confirmar se o CNPJ do fornecedor bate com o CNPJ informado pela Centi. Coleta em 09/09/2026.</t>
  </si>
  <si>
    <t xml:space="preserve">Limitacao que permanece valida para todos os concorrentes desta base: a busca textual so encontra contratos cujo objeto cita o nome da</t>
  </si>
  <si>
    <t xml:space="preserve">empresa ou do sistema. Contratos com objeto generico (sem citar o nome) nao sao encontrados - por isso cada aba deve ser lida como uma</t>
  </si>
  <si>
    <t xml:space="preserve">amostra ampla, e nao como o universo completo de contratos de cada empresa no PNCP.</t>
  </si>
  <si>
    <t xml:space="preserve">Grupo Megasoft</t>
  </si>
  <si>
    <t xml:space="preserve">Megasoft Informatica Ltda - CNPJ 37.615.788/0001-50 (e filial 37.615.788/0003-12) - 143 contratos aderentes ao criterio.</t>
  </si>
  <si>
    <t xml:space="preserve">Mega Suporte e Servicos Ltda - CNPJ 10.451.784/0001-28 (e filial 10.451.784/0002-09) - 41 contratos aderentes ao criterio.</t>
  </si>
  <si>
    <t xml:space="preserve">Mega Services Ltda - CNPJ 58.390.163/0001-08 - 18 contratos aderentes ao criterio.</t>
  </si>
  <si>
    <t xml:space="preserve">Buscas usadas: 'MEGASOFT' e 'MEGA SUPORTE' (346 resultados brutos, 202 aderentes apos confirmacao de CNPJ e filtros).</t>
  </si>
  <si>
    <t xml:space="preserve">BENCHMARK DIRETO. As tres razoes sociais aparecem indistintamente como contratada em municipios que usam a mesma marca/produto Megasoft -</t>
  </si>
  <si>
    <t xml:space="preserve">por isso foram mantidas juntas nas mesmas abas, com a coluna "Empresa contratada" identificando qual CNPJ assinou cada contrato.</t>
  </si>
  <si>
    <t xml:space="preserve">Prodata Informatica Ltda</t>
  </si>
  <si>
    <t xml:space="preserve">CNPJ 02.744.987/0001-84 (Prodata Gestao Estrategica, Goiania/GO) - 23 contratos aderentes ao criterio.</t>
  </si>
  <si>
    <t xml:space="preserve">Busca usada: 'PRODATA' (243 resultados brutos). A grande maioria era ruido: 'GRAFICA PRODATA LTDA' (empresa grafica, sem relacao,</t>
  </si>
  <si>
    <t xml:space="preserve">107 ocorrencias), uma outra 'Prodata Informatica Ltda' homonima com CNPJ diferente (78.815.701/0001-76, 3 ocorrencias), 'Prodata Mobility</t>
  </si>
  <si>
    <t xml:space="preserve">Brasil S.A.' (sistemas de mobilidade urbana, sem relacao) e dezenas de pessoas fisicas. Apenas os registros com CNPJ do fornecedor igual a</t>
  </si>
  <si>
    <t xml:space="preserve">02.744.987/0001-84 foram mantidos. BENCHMARK DIRETO. Objeto identico ao SIAFIC.</t>
  </si>
  <si>
    <t xml:space="preserve">Nota: a amostra da Prodata e menor e mais concentrada em contratos maiores (poucos municipios, tickets mais altos) do que a da Megasoft -</t>
  </si>
  <si>
    <t xml:space="preserve">consistente com o proprio posicionamento da empresa (atende municipios de maior porte/PIB em Goias, incluindo um contrato fora de Goias,</t>
  </si>
  <si>
    <t xml:space="preserve">em Angra dos Reis/RJ). Ainda assim, trate como amostra, nao como o total de clientes da empresa.</t>
  </si>
  <si>
    <t xml:space="preserve">Grupo SIGEP</t>
  </si>
  <si>
    <t xml:space="preserve">SIGEP Sistema de Gestao Publica Ltda - CNPJ 04.294.699/0001-09 - 13 contratos aderentes ao criterio.</t>
  </si>
  <si>
    <t xml:space="preserve">J.A de Lima &amp; Cia Limitada (marca BSIT / BR Consultorias e Sistemas) - CNPJ 00.396.104/0001-67 - 1 contrato aderente ao criterio.</t>
  </si>
  <si>
    <t xml:space="preserve">Buscas usadas: 'SIGEP', 'SANTOS OLIVEIRA TORREZAN' (razao social alternativa do mesmo CNPJ 04.294.699/0001-09) e 'J.A DE LIMA'</t>
  </si>
  <si>
    <t xml:space="preserve">(67 resultados brutos combinados, apos remover duplicados). Uma busca por 'BR CONSULTORIAS E SISTEMAS' nao retornou nenhum contrato do</t>
  </si>
  <si>
    <t xml:space="preserve">CNPJ 00.396.104/0001-67 - esse fornecedor aparece nos registros do PNCP com o objeto citando a marca SIGEP, nao a razao social BSIT.</t>
  </si>
  <si>
    <t xml:space="preserve">BENCHMARK DIRETO. Amostra pequena (14 contratos) e concentrada em Goias, refletindo um concorrente de porte bem menor que Megasoft e</t>
  </si>
  <si>
    <t xml:space="preserve">Prodata dentro do mesmo nicho - a maioria dos contratos encontrados e de Camaras Municipais de municipios pequenos.</t>
  </si>
  <si>
    <t xml:space="preserve">Centi (a propria empresa - referencia interna, nao concorrente)</t>
  </si>
  <si>
    <t xml:space="preserve">Centi Tecnologia Ltda - CNPJ 09.590.567/0001-30 - 1 contrato aderente ao criterio (Camara Municipal de Porangatu/GO,</t>
  </si>
  <si>
    <t xml:space="preserve">R$ 22.800,00/ano, Inexigibilidade, vigencia 05/01/2026 a 31/12/2026). Centi Solucoes Ltda - CNPJ 14.419.896/0001-52 - nenhum contrato</t>
  </si>
  <si>
    <t xml:space="preserve">localizado por este metodo.</t>
  </si>
  <si>
    <t xml:space="preserve">ALERTA METODOLOGICO IMPORTANTE: buscamos 'SIAFIC' (764 resultados brutos - a maioria irrelevante, pois SIAFIC tambem e usado como sigla</t>
  </si>
  <si>
    <t xml:space="preserve">generica do setor por outros fornecedores, nao so pela Centi) e 'CENTI' em varias combinacoes (mais de 3.000 resultados brutos somados,</t>
  </si>
  <si>
    <t xml:space="preserve">dominados por ruido: 'CENTI' sozinho da 24.992 resultados, porque o buscador do PNCP nao faz correspondencia exata de frase, e sim uma</t>
  </si>
  <si>
    <t xml:space="preserve">busca ampla que credencia qualquer termo parecido). De todos esses candidatos, so 1 contrato teve o CNPJ da Centi confirmado no fornecedor.</t>
  </si>
  <si>
    <t xml:space="preserve">Isso NAO significa que a Centi so tem 1 cliente de SIAFIC - significa que os demais contratos da Centi (se existirem no PNCP) nao citam</t>
  </si>
  <si>
    <t xml:space="preserve">"Centi" nem "SIAFIC" de forma que o buscador textual do PNCP consiga encontrar, ou o objeto descreve o sistema de forma generica.</t>
  </si>
  <si>
    <t xml:space="preserve">RECOMENDACAO: para a Centi, ao contrario dos concorrentes, a fonte mais confiavel nao e a busca externa no PNCP - e a base interna de</t>
  </si>
  <si>
    <t xml:space="preserve">contratos/CRM da propria empresa, que ja tem o valor e a vigencia exatos de cada cliente sem depender de como cada municipio publicou o</t>
  </si>
  <si>
    <t xml:space="preserve">objeto no PNCP. Se a Centi puder fornecer essa lista internamente, ela pode substituir ou complementar esta aba com dados completos.</t>
  </si>
  <si>
    <t xml:space="preserve">Divisao das abas de contrato por tipo de entidade</t>
  </si>
  <si>
    <t xml:space="preserve">Megasoft: Prefeituras (90), Camaras (109), Outras entidades (3 - autarquia/instituto de previdencia e consorcio).</t>
  </si>
  <si>
    <t xml:space="preserve">Prodata: Prefeituras (13), Camaras (8), Outras entidades (2 - instituto de previdencia).</t>
  </si>
  <si>
    <t xml:space="preserve">SIGEP: Prefeituras (7), Camaras (7). Sem registros em Outras entidades nesta amostra.</t>
  </si>
  <si>
    <t xml:space="preserve">Centi: 1 contrato, classificado como Camara (Porangatu/GO). Aba unica, sem divisao (amostra insuficiente para dividir).</t>
  </si>
  <si>
    <t xml:space="preserve">Cada aba tem exatamente as mesmas colunas e formulas - a unica diferenca e o filtro de empresa e de tipo de entidade.</t>
  </si>
  <si>
    <t xml:space="preserve">Criterio de selecao</t>
  </si>
  <si>
    <t xml:space="preserve">Mantidos apenas Contrato (termo inicial). Empenhos, aditivos e termos de rescisao excluidos para nao duplicar valores. Descartados</t>
  </si>
  <si>
    <t xml:space="preserve">contratos sem valor, sem vigencia definida ou com vigencia inferior a 3 meses.</t>
  </si>
  <si>
    <t xml:space="preserve">Vigente x historico</t>
  </si>
  <si>
    <t xml:space="preserve">A coluna Situacao e calculada com TODAY(): Vigente se a data de fim ainda nao passou. Ela se atualiza sozinha.</t>
  </si>
  <si>
    <t xml:space="preserve">Como o valor mensal foi calculado</t>
  </si>
  <si>
    <t xml:space="preserve">Mensal = Valor global do contrato dividido pelos meses de vigencia. Aproximacao, nao o valor de assinatura informado pelo fornecedor.</t>
  </si>
  <si>
    <t xml:space="preserve">Populacao municipal</t>
  </si>
  <si>
    <t xml:space="preserve">IBGE, API de agregados (agregado 6579, variavel 9324 - Populacao residente estimada), ano 2024, por codigo IBGE do municipio.</t>
  </si>
  <si>
    <t xml:space="preserve">Ressalvas - ler antes de usar como parametro</t>
  </si>
  <si>
    <t xml:space="preserve">1. O valor global frequentemente inclui implantacao, migracao de dados e treinamento. O mensal calculado tende a estar acima da assinatura pura.</t>
  </si>
  <si>
    <t xml:space="preserve">2. O escopo contratado varia entre contratos (modulos diferentes por municipio - alguns cobrem so um modulo, ex: so Recursos Humanos).</t>
  </si>
  <si>
    <t xml:space="preserve">3. Concentracao geografica forte em Goias (e Tocantins para a Megasoft) - reflete a atuacao real de cada empresa, nao um vies da coleta.</t>
  </si>
  <si>
    <t xml:space="preserve">4. Base com contratos de 2022 a 2026 (Megasoft e SIGEP) e 2022 a 2029 (Prodata, contrato de Angra dos Reis/RJ), sem correcao monetaria.</t>
  </si>
  <si>
    <t xml:space="preserve">5. Nenhum dado de valor, vigencia ou populacao foi estimado ou completado - vem diretamente da API oficial do PNCP e do IBGE.</t>
  </si>
  <si>
    <t xml:space="preserve">Legenda de cores</t>
  </si>
  <si>
    <t xml:space="preserve">Azul = celula de entrada, preenchida pela Centi   ·   Amarelo = decisao pendente   ·   Preto = resultado de formula</t>
  </si>
  <si>
    <t xml:space="preserve">Abas</t>
  </si>
  <si>
    <t xml:space="preserve">Megasoft - Prefeituras · Megasoft - Camaras · Megasoft - Outras entidades ·</t>
  </si>
  <si>
    <t xml:space="preserve">Prodata - Prefeituras · Prodata - Camaras · Prodata - Outras entidades ·</t>
  </si>
  <si>
    <t xml:space="preserve">SIGEP - Prefeituras · SIGEP - Camaras   ·   Centi - Camaras (referencia interna)</t>
  </si>
  <si>
    <t xml:space="preserve">Orgao contratante</t>
  </si>
  <si>
    <t xml:space="preserve">Tipo de entidade</t>
  </si>
  <si>
    <t xml:space="preserve">Municipio</t>
  </si>
  <si>
    <t xml:space="preserve">UF</t>
  </si>
  <si>
    <t xml:space="preserve">Populacao (IBGE 2024)</t>
  </si>
  <si>
    <t xml:space="preserve">Faixa populacional</t>
  </si>
  <si>
    <t xml:space="preserve">Ano</t>
  </si>
  <si>
    <t xml:space="preserve">Modalidade</t>
  </si>
  <si>
    <t xml:space="preserve">Inicio vigencia</t>
  </si>
  <si>
    <t xml:space="preserve">Fim vigencia</t>
  </si>
  <si>
    <t xml:space="preserve">Situacao</t>
  </si>
  <si>
    <t xml:space="preserve">Meses</t>
  </si>
  <si>
    <t xml:space="preserve">Valor global (R$)</t>
  </si>
  <si>
    <t xml:space="preserve">Valor mensal (R$)</t>
  </si>
  <si>
    <t xml:space="preserve">R$/hab/ano</t>
  </si>
  <si>
    <t xml:space="preserve">Empresa contratada (CNPJ)</t>
  </si>
  <si>
    <t xml:space="preserve">Categoria do objeto</t>
  </si>
  <si>
    <t xml:space="preserve">Objeto contratado</t>
  </si>
  <si>
    <t xml:space="preserve">Link PNCP</t>
  </si>
  <si>
    <t xml:space="preserve">MUNICIPIO DE ANICUNS</t>
  </si>
  <si>
    <t xml:space="preserve">Prefeitura</t>
  </si>
  <si>
    <t xml:space="preserve">Anicuns</t>
  </si>
  <si>
    <t xml:space="preserve">GO</t>
  </si>
  <si>
    <t xml:space="preserve">1 · Ate 20 mil</t>
  </si>
  <si>
    <t xml:space="preserve">Pregão - Presencial</t>
  </si>
  <si>
    <t xml:space="preserve">Mega Services Ltda (58.390.163/0001-08)</t>
  </si>
  <si>
    <t xml:space="preserve">Sistema de gestao administrativa municipal (SIAFIC)</t>
  </si>
  <si>
    <t xml:space="preserve">Contratação de empresa especializada em Tecnologia da Informação, para Fornecimento de Licença de Direito de Uso de Software em Plataforma Única de Gestão Pública com Módulos Web, Suporte Técnico e Manutenção, Incluindo a Implantação, a Migração de Dados, a Customização, a Parametrização e Treinamento, para Atender a Demanda de Todas Secretarias do Poder Executivo Municipal, bem como a Prefeitura Municipal de Anicuns – GO (incluso ainda: Anicuns Previdência e Faculdade de Anicuns - FEA), para atendimento à Legislação vigente e às normativas do Tribunal de Contas dos Municípios de Goiás TCM/GO, em atendimento às necessidades do Município de Anicuns de Goiás, nas condições estabelecidas no Termo de Referência</t>
  </si>
  <si>
    <t xml:space="preserve">https://pncp.gov.br/app/contratos/contratos/02262368000153/2026/63</t>
  </si>
  <si>
    <t xml:space="preserve">MUNICIPIO DE BELA VISTA DE GOIAS</t>
  </si>
  <si>
    <t xml:space="preserve">Bela Vista de Goiás</t>
  </si>
  <si>
    <t xml:space="preserve">2 · 20 a 100 mil</t>
  </si>
  <si>
    <t xml:space="preserve">Pregão - Eletrônico</t>
  </si>
  <si>
    <t xml:space="preserve">VALOR QUE SE EMPENHA PARA OCORRER DESPESA COM IMPLANTAÇÃO DE SERVIÇOS DE LOCAÇÃO DE SOFTWARES WEB - SISTEMAS DE INFORMATICA ( MEGASOFT ), ATENDENDO AS NECESSIDADES DA SEC MUN DE ADM , CONFORME CONTRATO Nº 110/2025 PREGÃO ELETRÔNICO Nº 042/2025.</t>
  </si>
  <si>
    <t xml:space="preserve">https://pncp.gov.br/app/contratos/contratos/01005917000141/2025/8610</t>
  </si>
  <si>
    <t xml:space="preserve">FUNDO MUNICIPAL DE EDUCACAO - FME</t>
  </si>
  <si>
    <t xml:space="preserve">Flores de Goiás</t>
  </si>
  <si>
    <t xml:space="preserve">Dispensa</t>
  </si>
  <si>
    <t xml:space="preserve">CONTRATAÇÃO DE EMPRESA ESPECIALIZADA PARA IMPLANTAÇÃO, LICENCIAMENTO E SUPORTE TÉCNICO DE SISTEMA INFORMATIZADO DE DIÁRIO ESCOLAR ONLINE, DESTINADOS AO REGISTRO, ACOMPANHAMENTO E GESTÃO DAS ATIVIDADES PEDAGÓGICAS DAS TURMAS DA EDUCAÇÃO INFANTIL DA REDE MUNICIPAL DE ENSINO DE FLORES DE GOIÁS/GO.</t>
  </si>
  <si>
    <t xml:space="preserve">https://pncp.gov.br/app/contratos/contratos/49576082000106/2026/5</t>
  </si>
  <si>
    <t xml:space="preserve">MUNICIPIO DE MAMBAI</t>
  </si>
  <si>
    <t xml:space="preserve">Mambaí</t>
  </si>
  <si>
    <t xml:space="preserve">Contratação de empresa especializada em tecnologia da informação, para fornecimento de licença de direito de uso de software em plataforma única de gestão pública com módulos web, contábil, arrecadação, contabilidade, compras e recursos humanos, além de suporte técnico e manutenção, incluindo a implantação, a customização, a parametrização e treinamento, para atender a demanda das Secretarias do Poder executivo Municipal, junto a Prefeitura Municipal de Mambaí - GO.</t>
  </si>
  <si>
    <t xml:space="preserve">https://pncp.gov.br/app/contratos/contratos/01740463000152/2025/125</t>
  </si>
  <si>
    <t xml:space="preserve">MUNICIPIO DE SITIO D'ABADIA</t>
  </si>
  <si>
    <t xml:space="preserve">Sítio d'Abadia</t>
  </si>
  <si>
    <t xml:space="preserve">Contratação de empresa especializada em tecnologia da informação, para fornecimento de licença de direito de uso de software em plataforma única de gestão pública com módulos web, contábil, arrecadação, contabilidade, compras e recursos humanos, além de suporte técnico e manutenção, incluindo a implantação, a customização, a parametrização e treinamento, para atender a demanda das Secretarias do Poder executivo Municipal, junto a Prefeitura Municipal de Sítio D'Abadia - GO.</t>
  </si>
  <si>
    <t xml:space="preserve">https://pncp.gov.br/app/contratos/contratos/01740489000109/2025/2735</t>
  </si>
  <si>
    <t xml:space="preserve">MUNICIPIO DE AMORINOPOLIS</t>
  </si>
  <si>
    <t xml:space="preserve">Amorinópolis</t>
  </si>
  <si>
    <t xml:space="preserve">Mega Suporte e Serviços Ltda (10.451.784/0001-28)</t>
  </si>
  <si>
    <t xml:space="preserve">LOCAÇÃO DE SOFTWARE WEB</t>
  </si>
  <si>
    <t xml:space="preserve">https://pncp.gov.br/app/contratos/contratos/01067073000163/2026/35</t>
  </si>
  <si>
    <t xml:space="preserve">MUNICIPIO DE COLINAS DO SUL</t>
  </si>
  <si>
    <t xml:space="preserve">Colinas do Sul</t>
  </si>
  <si>
    <t xml:space="preserve">CONTRATAÇÃO DE LICENÇA DE DIREITO DE USO DE SISTEMA NA ÁREA DE GESTÃO PÚBLICA NO MUNICÍPIO DE COLINAS DO SUL, COM FORNECIMENTO, IMPLANTAÇÃO, TREINAMENTO, SUPORTE TÉCNICO E MANUTENÇÃO DA PLATAFORMA DO SOFTWARE CONTENDO OS MÓDULOS NECESSÁRIOS CONFORME EXIGÊNCIA DO EDITAL E TERMO DE REFERÊNCIA ANEXO I DO EDITAL DE LICITAÇÃO, MODALIDADE PREGÃO PRESENCIAL Nº 008/2025, E PROCESSO ADMINISTRATIVO Nº 3283/2025.</t>
  </si>
  <si>
    <t xml:space="preserve">https://pncp.gov.br/app/contratos/contratos/25105255000140/2025/71</t>
  </si>
  <si>
    <t xml:space="preserve">PLANO DE ASSISTENCIA SOCIAL DE CRISTIANOPOLIS</t>
  </si>
  <si>
    <t xml:space="preserve">Cristianópolis</t>
  </si>
  <si>
    <t xml:space="preserve">CONTRATO DE LOCAÇÃO E SUPORTE DE SOFTWARE DE GESTÃO PÚBLICA</t>
  </si>
  <si>
    <t xml:space="preserve">https://pncp.gov.br/app/contratos/contratos/05419083000171/2024/10</t>
  </si>
  <si>
    <t xml:space="preserve">MUNICIPIO DE DARCINOPOLIS</t>
  </si>
  <si>
    <t xml:space="preserve">Darcinópolis</t>
  </si>
  <si>
    <t xml:space="preserve">TO</t>
  </si>
  <si>
    <t xml:space="preserve">Mega Suporte e Serviços Ltda - filial Palmas/TO (10.451.784/0002-09)</t>
  </si>
  <si>
    <t xml:space="preserve">Contratação de serviços de locação de sistema web (software) de gestão pública, contemplando os módulos: Organizacional, Contabilidade, Recursos Humanos, Gestão de Compras, Arrecadação, Aplicativos, Gestão Administrativa, Financeira e Notas Fiscais Eletrônicas, com acesso remoto via internet por meio de quaisquer dispositivos eletrônicos (celulares, tablets, etc.) para Prefeitura e Fundo Municipal de Assistência Social.</t>
  </si>
  <si>
    <t xml:space="preserve">https://pncp.gov.br/app/contratos/contratos/25064072000123/2025/8</t>
  </si>
  <si>
    <t xml:space="preserve">MUNICIPIO DE FIRMINOPOLIS</t>
  </si>
  <si>
    <t xml:space="preserve">Firminópolis</t>
  </si>
  <si>
    <t xml:space="preserve">CONTRATO REFERENTE A CONTRATAÇÃO DE EMPRESA ESPECIALIZADA EM IMPLANTAÇÃO E PRESTAÇÃO DE SERVIÇOS DE LOCAÇÃO DE SOFTWARES WEB.</t>
  </si>
  <si>
    <t xml:space="preserve">https://pncp.gov.br/app/contratos/contratos/02321917000113/2026/28</t>
  </si>
  <si>
    <t xml:space="preserve">MUNICIPIO DE MARZAGAO</t>
  </si>
  <si>
    <t xml:space="preserve">Marzagão</t>
  </si>
  <si>
    <t xml:space="preserve">É objeto do presente contrato a prestação de serviços de licenciamento de uso, implantação, migração e conversão de dados, parametrização, treinamento de usuários, suporte técnico especializado, manutenção corretiva, adaptativa, preventiva e evolutiva, bem como cessão de direito de uso de sistema integrado de gestão pública municipal em ambiente web, com banco de dados em nuvem, destinado à modernização e integração das rotinas administrativas, contábeis, financeiras, tributárias e gerenciais da Administração Pública Municipa</t>
  </si>
  <si>
    <t xml:space="preserve">https://pncp.gov.br/app/contratos/contratos/01174580000104/2026/32</t>
  </si>
  <si>
    <t xml:space="preserve">FUNDO MUNICIPAL DE ASSISTENCIA SOCIAL</t>
  </si>
  <si>
    <t xml:space="preserve">Nova Olinda</t>
  </si>
  <si>
    <t xml:space="preserve">Contratação de empresa especializada para a prestação de serviço com locação/licença de
uso de Programas de Informática Softwares de Gestão Pública, incluindo módulos de gestão
administrativa como: Contabilidade Pública em geral incluindo Planejamento LOA; PPA; LDO;
Arrecadação; Gestão de compras; Protocolo; Recursos Humanos, Nota Fiscal eletrônica; Portal da
Transparência; E-Sic; todos em Web; englobando os serviços de instalação, implantação, conversão,
treinamento, manutenção mensal que garantam as alterações legais, corretivas e evolutivas, com
atendimento e suporte técnico para os sistemas relacionados da administração pública atendendo as
atividades administrativas do Fundo Municipal de Assistência Social de Nova Olinda – TO conforme
especificações e condições constantes no termo de Referência, considerando a necessidade no
atendimento do interesse público</t>
  </si>
  <si>
    <t xml:space="preserve">https://pncp.gov.br/app/contratos/contratos/14477036000175/2026/2</t>
  </si>
  <si>
    <t xml:space="preserve">MUNICIPIO DE NOVA OLINDA</t>
  </si>
  <si>
    <t xml:space="preserve">Contratação de empresa especializada para a prestação de serviço com locação/licença de
uso de Programas de Informática Softwares de Gestão Pública, incluindo módulos de gestão
administrativa como: Contabilidade Pública em geral incluindo Planejamento LOA; PPA; LDO;
Arrecadação; Gestão de compras; Protocolo; Recursos Humanos, Nota Fiscal eletrônica; Portal da
Transparência; E-Sic; todos em Web; englobando os serviços de instalação, implantação, conversão,
treinamento, manutenção mensal que garantam as alterações legais, corretivas e evolutivas, com
atendimento e suporte técnico para os sistemas relacionados da administração pública do município
compreendendo a Prefeitura Municipal de Nova Olinda – TO conforme especificações e condições
constantes no termo de Referência, considerando a necessidade no atendimento do interesse
público.</t>
  </si>
  <si>
    <t xml:space="preserve">https://pncp.gov.br/app/contratos/contratos/00001602000163/2026/2</t>
  </si>
  <si>
    <t xml:space="preserve">FUMPRU - FUNDO DE PREVIDENCIA SOCIAL DOS SERVIDORES DO MUNICIPIO DE RUBIATABA</t>
  </si>
  <si>
    <t xml:space="preserve">Rubiataba</t>
  </si>
  <si>
    <t xml:space="preserve">CONTRATO 002/2026, DISPENSA 005/2026, CONTRATAÇÃO DE DIREITO DE USO DE SISTEMA INFORMATIZADO DE GESTÃO PÚBLICA EM AMBIENTE WEB, DENOMINADO "MEGaADMWEB, DESTINADO AO GERENCIAMENTO INTEGRADO DE RECURSOS HUMANOS, FOLHA DE PAGAMENTO, ENVIOS CORALE - TCM, eSOCIAL E PREVIDENCIA SOCIAL.</t>
  </si>
  <si>
    <t xml:space="preserve">https://pncp.gov.br/app/contratos/contratos/25044199000180/2026/2</t>
  </si>
  <si>
    <t xml:space="preserve">MUNICIPIO DE RUBIATABA</t>
  </si>
  <si>
    <t xml:space="preserve">CONTRATO Nº 105/2025 - PREGÃO ELETRÔNICO Nº 021/2025 - PROCESSO ADMINISTRATIVO Nº 4004/2025 - EMPRESA ESPECIALIZADA EM IMPLANTAÇÃO, LOCAÇÃO, MANUTENÇÃO E SUPORTE DE SISTEMA DE INFORMAÇÃO PARA GESTÃO DA ADMINISTRAÇÃO PÚBLICA.</t>
  </si>
  <si>
    <t xml:space="preserve">https://pncp.gov.br/app/contratos/contratos/02382836000123/2025/545</t>
  </si>
  <si>
    <t xml:space="preserve">CONTRATO Nº 104/2025 - PREGÃO ELETRÔNICO Nº 021/2025 - PROCESSO ADMINISTRATIVO Nº 4004/2025 - EMPRESA ESPECIALIZADA EM IMPLANTAÇÃO, LOCAÇÃO, MANUTENÇÃO E SUPORTE DE SISTEMA DE INFORMAÇÃO PARA GESTÃO DA ADMINISTRAÇÃO PÚBLICA.</t>
  </si>
  <si>
    <t xml:space="preserve">https://pncp.gov.br/app/contratos/contratos/02382836000123/2025/544</t>
  </si>
  <si>
    <t xml:space="preserve">MUNICIPIO DE ALOANDIA</t>
  </si>
  <si>
    <t xml:space="preserve">Aloândia</t>
  </si>
  <si>
    <t xml:space="preserve">Megasoft Informática Ltda (37.615.788/0001-50)</t>
  </si>
  <si>
    <t xml:space="preserve">CONTRATAÇÃO DE LICENÇA DE DIRETO DE USO DE SISTEMA WEB A ÁREA DE GESTÃO PÚBLICA, COM ACESSO A QUAISQUER DISPOSITIVOS ELETRÔNICOS VIA INTERNET (CELULAR, TABLETS, ETC.) ATENDENDO AS LEGISLAÇÕES ESPECÍFICAS, COMPREENDENDO OS SISTEMAS DE CONTABILIDADE PÚBLICA, ADMINISTRAÇÃO DE PESSOAL – FOLHA DE PAGAMENTO, PATRIMÔNIO, ALMOXARIFADO,  COMPRAS, LICITAÇÃO, TESOURARIA, CONTROLE DE VEÍCULOS (FROTAS), CONTROLE DE PROCESSOS (PROTOCOLO), CONTROLE DE ARRECADAÇÃO, NOTA FISCAL ELETRÔNICA, EDUCAÇÃO, COLARE E PORTAL DE TRANSPARÊNCIA E E-SIC, EM CONFORMIDADE COM AS ESPECIFICAÇÕES TÉCNICAS E SERVIÇOS DESCRITOS NOS ANEXOS, PARA ATENDIMENTO À LEGISLAÇÃO VIGENTE E ÀS NORMATIVAS DO TRIBUNAL DE CONTAS DOS MUNICÍPIOS DE GOIÁS</t>
  </si>
  <si>
    <t xml:space="preserve">https://pncp.gov.br/app/contratos/contratos/01345537000156/2025/183</t>
  </si>
  <si>
    <t xml:space="preserve">MUNICIPIO DE ALVORADA DO NORTE</t>
  </si>
  <si>
    <t xml:space="preserve">Alvorada do Norte</t>
  </si>
  <si>
    <t xml:space="preserve">* Contrato.N.056/2025, ref. CONTRATAÇÃO de Empresa Especializada em tecnologia da informação, para fornecimento de licença de direito de uso de software em  plataforma única de gestão pública com módulos web, suporte técnico e manutenção, incluindo a  implantação, a migração de dados, a customização, a parametrização e treinamento, para atender a demanda das Secretarias do Poder executivo Municipal, junto a Prefeitura Municipal de Alvorada do Norte – GO; Proc. Adm. 888/2025, Pregão Presencial (republicado) 007/2025.</t>
  </si>
  <si>
    <t xml:space="preserve">https://pncp.gov.br/app/contratos/contratos/02367597000132/2025/748</t>
  </si>
  <si>
    <t xml:space="preserve">MUNICIPIO DE ARAGARCAS</t>
  </si>
  <si>
    <t xml:space="preserve">Aragarças</t>
  </si>
  <si>
    <t xml:space="preserve">CONTRATO DE LOCAÇÃO DE SOFTWARES NOS MODELOS: CONTABILIDADE PUBLICA, COMPRAS, LICITAÇÕES,TESOURARIA, CONTROLE DE ESTOQUE, CONTROLE PATRIMONIAL,CONTROLE DE VEÍCULOS, CFE. CONTRATO 46/2026 E PREGÃO PRESENCIAL Nº 26/2025</t>
  </si>
  <si>
    <t xml:space="preserve">https://pncp.gov.br/app/contratos/contratos/02125227000199/2025/3220</t>
  </si>
  <si>
    <t xml:space="preserve">FUNDO MUNICIPAL DE EDUCACAO FME</t>
  </si>
  <si>
    <t xml:space="preserve">Araçu</t>
  </si>
  <si>
    <t xml:space="preserve">Contratação de empresa para prestação de serviço de fornecimento de software Web Educacional para atender as necessidades do Fundo Municipal de Educação</t>
  </si>
  <si>
    <t xml:space="preserve">https://pncp.gov.br/app/contratos/contratos/45400604000163/2024/3</t>
  </si>
  <si>
    <t xml:space="preserve">PREVIBEL - FUNDO MUNICIPAL DE PREVIDENCIA SOCIAL DOS SERVIDORES DE BELA VISTA DE GOIAS</t>
  </si>
  <si>
    <t xml:space="preserve">VALOR REFERENTE A LOCACAO DE EISTEMA DE SOFTWARE NA AREA DE RECURSOS HUMANOS, FOLHA DE PAGAMENTO PELO PERIODO DE DOZE MESES, CONFORME DOCUMENTACAO.</t>
  </si>
  <si>
    <t xml:space="preserve">https://pncp.gov.br/app/contratos/contratos/04862101000122/2024/18</t>
  </si>
  <si>
    <t xml:space="preserve">MUNICIPIO DE BONFINOPOLIS</t>
  </si>
  <si>
    <t xml:space="preserve">Bonfinópolis</t>
  </si>
  <si>
    <t xml:space="preserve">CONTRATAÇÃO DE EMPRESA ESPAECIALIZADA EM TECNOLOGIA DA INFORMAÇÃO, PARA FORNECIMENTO DE LICENÇA DE DIREITO DE USO DE SOFTWARE EM PLATAFORMA ÚNICA DE GESTÃO PÚBLICA COM MÓDULO WEB, CONTÁBIL, ARRECADAÇÃO, CONTABILIDADE, COMPRAS E RECURSOS HUMANOS, ALÉM DE SUPORTE TÉCNICO E MANUTENÇÃO, INCLUINDO A IMPLANTAÇÃO, CUSTOMIZAÇÃO, A PARAMETRIZAÇÃO E TREINAMENTO, PARA ATENDER A DEMANDA DAS SECRETARIAS DO PODER EXECUTIVO MUNICIPAL.</t>
  </si>
  <si>
    <t xml:space="preserve">https://pncp.gov.br/app/contratos/contratos/24857096000177/2026/2</t>
  </si>
  <si>
    <t xml:space="preserve">FUNDO MUNICIPAL DE EDUCACAO DE BONOPOLIS - FME</t>
  </si>
  <si>
    <t xml:space="preserve">Bonópolis</t>
  </si>
  <si>
    <t xml:space="preserve">Contratação de empresa especializada na prestação de serviço de locação, treinamento, suporte e implantação de software de gestão publica, para atender as necessidades do Fundo municipal de  Educação de Bonopolis</t>
  </si>
  <si>
    <t xml:space="preserve">https://pncp.gov.br/app/contratos/contratos/45557047000199/2024/5</t>
  </si>
  <si>
    <t xml:space="preserve">SECRETARIA MUNICIPAL DE ADMINISTRACAO E PLANEJAMENTO</t>
  </si>
  <si>
    <t xml:space="preserve">Brejinho de Nazaré</t>
  </si>
  <si>
    <t xml:space="preserve">Megasoft Informática Ltda - filial Palmas/TO (37.615.788/0003-12)</t>
  </si>
  <si>
    <t xml:space="preserve">CONTRATAÇÃO DE EMPRESA ESPECIALIZADA PARA FORNECIMENTO DO SISTEMA INTEGRADO DE GESTÃO PÚBLICA DENOMINADO MEGAADMWEB, CONTEMPLANDO LICENCIAMENTO DE USO, IMPLANTAÇÃO, MIGRAÇÃO DE DADOS, TREINAMENTO, SUPORTE TÉCNICO CONTÍNUO, ATUALIZAÇÕES PERIÓDICAS E HOSPEDAGEM EM NUVEM, COM DISPONIBILIZAÇÃO DE 8 MÓDULOS INTEGRADOS: CONTABILIDADE, ARRECADAÇÃO, GESTÃO DE COMPRAS, RECURSOS HUMANOS, PORTAL DA TRANSPARÊNCIA, E-SIC E HOSPEDAGEM EM NUVEM, PARA ATENDER ÀS NECESSIDADES ADMINISTRATIVAS E OPERACIONAIS DA PREFEITURA MUNICIPAL BREJINHO DE NAZARÉ-TO.</t>
  </si>
  <si>
    <t xml:space="preserve">https://pncp.gov.br/app/contratos/contratos/30101686000178/2025/8</t>
  </si>
  <si>
    <t xml:space="preserve">MUNICIPIO DE BRITANIA</t>
  </si>
  <si>
    <t xml:space="preserve">Britânia</t>
  </si>
  <si>
    <t xml:space="preserve">CONTRATAÇÃO DE EMPRESA ESPECIALIZADA EM LOCAÇÃO DE SOFTWARE DE GESTÃO EDUCACIONAL, EM ATENDIMENTO AS NECESSIDADES DA SECRETARIA DE EDUCAÇÃO DO MUNICÍPIO DE BRITÂNIA-GO.</t>
  </si>
  <si>
    <t xml:space="preserve">https://pncp.gov.br/app/contratos/contratos/02296325000199/2023/12</t>
  </si>
  <si>
    <t xml:space="preserve">MUNICIPIO DE BURITI DE GOIAS</t>
  </si>
  <si>
    <t xml:space="preserve">Buriti de Goiás</t>
  </si>
  <si>
    <t xml:space="preserve">O objeto do presente instrumento é a contratação de empresa especializada em implantação e prestação de serviços de locação de Software Web de Gestão Pública, nas áreas: Contabilidade Pública, Administração de Pessoal – Folha de Pagamento, Patrimônio, Almoxarifado, Arrecadação, Compras, Licitação, Tesouraria, Controle de Veículos (Frotas), Controle de Processos (Protocolo) com consulta via internet, Cemitério, Assistência Social, Portal de Transparência e E-Sic, Nota Fiscal Eletrônica e Aplicativo de Gestão, para atendimento à legislação vigente e às normativas do Tribunal de Contas dos Municípios de Goiás/Tribunal de Contas do Estado de Goiás, nas condições estabelecidas no Termo de Referência.</t>
  </si>
  <si>
    <t xml:space="preserve">https://pncp.gov.br/app/contratos/contratos/26867770000120/2025/63</t>
  </si>
  <si>
    <t xml:space="preserve">MUNICIPIO DE CEZARINA</t>
  </si>
  <si>
    <t xml:space="preserve">Cezarina</t>
  </si>
  <si>
    <t xml:space="preserve">Contratação de Empresa especializada em implantação e prestação de serviços de locação de Softwares Web com acesso a quaisquer dispositivos eletrônicos com internet (Celular, Tablet, etc) em quaisquer lugares do país, que atendam legislações específicas, bem como as conversões dos dados existentes no município, o treinamento de todos os funcionários na utilização dos sistemas locados e o suporte e manutenção destes sistemas, nos termos do Anexo I do Edital para Município de Cezarina, conforme especificações constantes neste edital e em seus Anexos.</t>
  </si>
  <si>
    <t xml:space="preserve">https://pncp.gov.br/app/contratos/contratos/25043530000148/2026/28</t>
  </si>
  <si>
    <t xml:space="preserve">Contratação de empresa especializada para prestação de serviço de locação, treinamento, suporte e implantação de software de gestão pública, para atender as necessidades do Fundo Municipal de educação de Cezarina.</t>
  </si>
  <si>
    <t xml:space="preserve">https://pncp.gov.br/app/contratos/contratos/59118862000166/2026/2</t>
  </si>
  <si>
    <t xml:space="preserve">https://pncp.gov.br/app/contratos/contratos/59118862000166/2025/7</t>
  </si>
  <si>
    <t xml:space="preserve">CONTRATAÇÃO DE EMPRESA ESPECIALIZADA EM SOFTWARE DE GESTÃO ESCOLAR</t>
  </si>
  <si>
    <t xml:space="preserve">https://pncp.gov.br/app/contratos/contratos/25043530000148/2024/54</t>
  </si>
  <si>
    <t xml:space="preserve">MUNICIPIO DE COCALZINHO DE GOIAS</t>
  </si>
  <si>
    <t xml:space="preserve">Cocalzinho de Goiás</t>
  </si>
  <si>
    <t xml:space="preserve">CONTRATAÇÃO DE EMPRESA ESPECIALIZADA EM IMPLANTAÇÃO E PRESTAÇÃO DE SERVIÇOS DE LOCAÇÃO DE SOFTWARES WEB PARA GESTÃO PÚBLICA.</t>
  </si>
  <si>
    <t xml:space="preserve">https://pncp.gov.br/app/contratos/contratos/36985463000105/2025/35</t>
  </si>
  <si>
    <t xml:space="preserve">MUNICIPIO DE COLINAS DO TOCANTINS</t>
  </si>
  <si>
    <t xml:space="preserve">Colinas do Tocantins</t>
  </si>
  <si>
    <t xml:space="preserve">PRESTAÇÃO DE SERVIÇOS DE LOCAÇÃO DE SOFTWARE INTEGRADO DE GESTÃO PÚBLICA WEB PARA ATENDER AS NECESSIDADES DA SECRETARIA MUNICIPAL DE SAÚDE</t>
  </si>
  <si>
    <t xml:space="preserve">https://pncp.gov.br/app/contratos/contratos/01795483000120/2026/17</t>
  </si>
  <si>
    <t xml:space="preserve">PRESTAÇÃO DE SERVIÇOS DE LOCAÇÃO DE SOFTWARE INTEGRADO DE GESTÃO PÚBLICA WEB PARA ATENDER AS NECESSIDADES DA SECRERTARIA MUNICIPAL DE EDUCAÇÃO</t>
  </si>
  <si>
    <t xml:space="preserve">https://pncp.gov.br/app/contratos/contratos/01795483000120/2026/16</t>
  </si>
  <si>
    <t xml:space="preserve">PRESTAÇÃO DE SERVIÇOS DE LOCAÇÃO DE SOFTWARE INTEGRADO DE GESTÃO PÚBLICA WEB PARA ATENDER AS NECESSIDADES DA SECRETARIA MUNICIPAL DE ASSISTÊNCIA SOCIAL</t>
  </si>
  <si>
    <t xml:space="preserve">https://pncp.gov.br/app/contratos/contratos/01795483000120/2026/15</t>
  </si>
  <si>
    <t xml:space="preserve">CONTRATO ADMINISTRATIVO DE PRESTAÇÃO DE SERVIÇOS DE LOCAÇÃO DE SOFTWARE INTEGRADO DE GESTÃO PÚBLICA WEB</t>
  </si>
  <si>
    <t xml:space="preserve">https://pncp.gov.br/app/contratos/contratos/01795483000120/2026/14</t>
  </si>
  <si>
    <t xml:space="preserve">FUNDO MUNICIPAL DE SAUDE</t>
  </si>
  <si>
    <t xml:space="preserve">Contratação de locação de software integrado de gestão pública - WEB, para administração pública municlpal, através de empresa especializada em tecnologia da lnformação, para prestação de serviços de implantação e manutenção de sistemas de informatização nas seguintes áreas: Contábil, PPA, LDO, Orçamento, Balancete, Tesouraria, Patrimônio, Balanço Geral, Protocolo Web, Compras, Licitação, Pregão, Almoxarifado, Frota e Assistência Social, Folha de Pagamento, Dossiê, Previdência Social e Portal de Transparência, entre outros, em atendimento às necessidades do Fundo Municipal de Saúde de Colinas do Tocantins/TO</t>
  </si>
  <si>
    <t xml:space="preserve">https://pncp.gov.br/app/contratos/contratos/11359904000124/2025/4</t>
  </si>
  <si>
    <t xml:space="preserve">FUNDO MUNICIPAL DE ASSISTENCIA SOCIAL DE COLINAS DO TOCANTINS</t>
  </si>
  <si>
    <t xml:space="preserve">Contrataçâo de locação de Software lntegrado de Gestão pública - WEB,para Administração Pública Municipal, através de empresa especializada em Tecnologia da lnformação, para prestaçáo de serviços de implantação e manutenção de sistemas de informatização nas seguintes áreas: Contábii, ppA, LDO, Orçamento, Balancete, Tesouraria, Patrimônio, Balanço Geral, protocolo Web, Compras, Licitação, Pregão, Almoxarifado, Frota e Assistência Social, Folha de pagamento, Dossiê, Previdência social e Portal de Transparência, entre outros, autuado sob n 673312024
pela servidora Municipal, junto à secretaria Municipal de Assistência social deColinas do Tocantins/TO.</t>
  </si>
  <si>
    <t xml:space="preserve">https://pncp.gov.br/app/contratos/contratos/12366625000150/2025/3</t>
  </si>
  <si>
    <t xml:space="preserve">CONTRATO DE LOCAÇÃO E SUPORTE DE SOFTWARE DE GESTÃO PÚBLICA PARA O PASCRI REFERENTE PARA O ANO DE 2025.</t>
  </si>
  <si>
    <t xml:space="preserve">https://pncp.gov.br/app/contratos/contratos/05419083000171/2025/7</t>
  </si>
  <si>
    <t xml:space="preserve">MUNICIPIO DE CRIXAS</t>
  </si>
  <si>
    <t xml:space="preserve">Crixás</t>
  </si>
  <si>
    <t xml:space="preserve">O presente contrato tem por objeto a prestação dos serviços de empresa especializada para fornecimento de sistema integrado de gestão pública, na modalidade de software como serviços (SaaS), com hospedagem em nuvem, para entender as necessidades da Prefeitura Municipal e demais órgãos e Secretarias Municipais, conforme quantidade e especificação do Termo de referência - Anexo I do edital, do edital do Pregão presencial 025/2025, pela Contratada e Contratante, conforme especificações, escopo, quantidades e condições detalhadas no Termo de Referência e na proposta da Contratada, que passam a fazer parte integrante deste instrumento Contratual sob nº 105/2025 para todos os fins de direito.</t>
  </si>
  <si>
    <t xml:space="preserve">https://pncp.gov.br/app/contratos/contratos/02382067000163/2025/370</t>
  </si>
  <si>
    <t xml:space="preserve">MUNICIPIO DO CORREGO DO OURO</t>
  </si>
  <si>
    <t xml:space="preserve">Córrego do Ouro</t>
  </si>
  <si>
    <t xml:space="preserve">REFERENTE A CONTRATAÇÃO EMPRESA PARA FORNECIMENTO DE LICENÇA DE DIREITO DE USO DE SOFTWARE.</t>
  </si>
  <si>
    <t xml:space="preserve">https://pncp.gov.br/app/contratos/contratos/02321115000103/2025/43</t>
  </si>
  <si>
    <t xml:space="preserve">CONTRATO DE PRESTAÇÃO DE SERVIÇOS DE LICENCIAMENTO DE USO, IMPLANTAÇÃO, MANUTENÇÃO E SUPORTE TÉCNICO DE SISTEMA WEB DE GESTÃO PÚBLICA</t>
  </si>
  <si>
    <t xml:space="preserve">https://pncp.gov.br/app/contratos/contratos/25064072000123/2026/3</t>
  </si>
  <si>
    <t xml:space="preserve">CONTRATO ADMINISTRATIVO DE PRESTAÇÃO DE SERVIÇOS DE LICENCIAMENTO DE USO, IMPLANTAÇÃO, MANUTENÇÃO E SUPORTE TÉCNICO DE SISTEMA WEB DE GESTÃO PÚBLICA</t>
  </si>
  <si>
    <t xml:space="preserve">https://pncp.gov.br/app/contratos/contratos/25064072000123/2026/2</t>
  </si>
  <si>
    <t xml:space="preserve">https://pncp.gov.br/app/contratos/contratos/25064072000123/2026/1</t>
  </si>
  <si>
    <t xml:space="preserve">SECRETARIA MUNICIPAL DE EDUCACAO E CULTURA</t>
  </si>
  <si>
    <t xml:space="preserve">O presente contrato tem por objeto a contratação de serviços de locação de sistema web (software) de gestão pública, contemplando os módulos: Organizacional, Contabilidade, Recursos Humanos, Gestão de Compras, Arrecadação, Aplicativos, Gestão Administrativa, Financeira e Notas Fiscais Eletrônicas, com acesso remoto via internet por meio de quaisquer dispositivos eletrônicos (celulares, tablets, etc.). Incluem-se no objeto os seguintes serviços: Migração de dados; Implantação do sistema; Treinamento e capacitação de servidores; Suporte técnico especializado; Atualizações regulares; Hospedagem em nuvem (banco de dados) com backups automáticos.</t>
  </si>
  <si>
    <t xml:space="preserve">https://pncp.gov.br/app/contratos/contratos/06073991000119/2025/3</t>
  </si>
  <si>
    <t xml:space="preserve">MUNICIPIO DE EDEALINA</t>
  </si>
  <si>
    <t xml:space="preserve">Edealina</t>
  </si>
  <si>
    <t xml:space="preserve">Prestação de serviços especializados para licenciamento de uso de solução integrada de gestão pública em plataforma web (SaaS), compreendendo o fornecimento de licença de uso do sistema, bem como serviços de implantação, parametrização, conversão e migração de dados, capacitação e treinamento de usuários, suporte técnico especializado, manutenção preventiva, corretiva, adaptativa e evolutiva.</t>
  </si>
  <si>
    <t xml:space="preserve">https://pncp.gov.br/app/contratos/contratos/24852618000148/2026/11</t>
  </si>
  <si>
    <t xml:space="preserve">MUNICIPIO DE ESTRELA DO NORTE</t>
  </si>
  <si>
    <t xml:space="preserve">Estrela do Norte</t>
  </si>
  <si>
    <t xml:space="preserve">SERVIÇOS DE LOCAÇÃO DE SISTEMAS DE GESTÃO PÚBLICA QUE OFEREÇA OS MODULOS DE CONTABILIDADE, ARRECADAÇÃO, GESTÃO DE COMPRAS, PROTOCOLO, RECURSOS HUMANOS, PORTAL DA TRANSPARÊNCIA E-SIC E BANCO DE DADOS.</t>
  </si>
  <si>
    <t xml:space="preserve">https://pncp.gov.br/app/contratos/contratos/01800465000190/2026/17</t>
  </si>
  <si>
    <t xml:space="preserve">MUNICIPIO DE FLORES DE GOIAS</t>
  </si>
  <si>
    <t xml:space="preserve">CONTRATAÇÃO DE EMPRESA ESPECIALIZADA EM IMPLEMENTAÇÃO DE SISTEMA SOFTWARE DE GESTÃO PUBLICA, INCLUINDO SERVIÇOS COMPLEMENTARES DE CONVERSÃO DE DADOS, IMPLANTAÇÃO, MIGRAÇÃO DE DADOS PRÉ-EXISTENTES, TREINAMENTO, MANUTENÇÃO, SUPORTE TÉCNICO E ACOMPANHAMENTO DURANTE O PERÍODO CONTRATUAL</t>
  </si>
  <si>
    <t xml:space="preserve">https://pncp.gov.br/app/contratos/contratos/01740497000147/2025/68</t>
  </si>
  <si>
    <t xml:space="preserve">MUNICIPIO DE IVOLANDIA</t>
  </si>
  <si>
    <t xml:space="preserve">Ivolândia</t>
  </si>
  <si>
    <t xml:space="preserve">CONTRATAÇÃO DE EMPRESA ESPECIALIZADA EM IMPLANTAÇÃO E PRESTAÇÃO DE SERVIÇOS DE LOCAÇÃO DE SOFTWARES WEB COM ACESSO A QUAISQUER DISPOSITIVOS ELETRÔNICOS COM INTERNET (CELULAR, TABLET, ETC) EM QUAISQUER LUGARES DO PAÍS, QUE ATENDAM LEGISLAÇÕES ESPECÍFICAS, BEM COMO AS CONVERSÕES DOS DADOS EXISTENTES NO MUNICÍPIO, O TREINAMENTO DE TODOS OS FUNCIONÁRIOS NA UTILIZAÇÃO DOS SISTEMAS LOCADOS E O SUPORTE E MANUTENÇÃO DESTES SISTEMAS. OS SISTEMAS LOCADOS DEVEM ATENDER ÀS SEGUINTES ÁREAS: CONTABILIDADE PÚBLICA, ADMINISTRAÇÃO DE PESSOAL - FOLHA DE PAGAMENTO, PATRIMÔNIO, ALMOXARIFADO, ARRECADAÇÃO, COMPRAS, LICITAÇÃO, TESOURARIA, CONTROLE DE VEÍCULOS (FROTAS), CONTROLE DE PROCESSOS (PROTOCOLO) COM CONSULTA VIA INTERNET, CEMITÉRIO, ASSISTÊNCIA SOCIAL, E E-SIC, NOTA FISCAL ELETRÔNICA, APLICATIVO DE TUDO EM CONFORMIDADE COM AS ESPECIFICAÇÕES TÉCNICAS E SERVIÇOS DESCRITOS NOS ANEXOS DO EDITAL DO PREGÃO PRESENCIAL N° 001/2025</t>
  </si>
  <si>
    <t xml:space="preserve">https://pncp.gov.br/app/contratos/contratos/02321891000103/2025/38</t>
  </si>
  <si>
    <t xml:space="preserve">MUNICIPIO DE JANDAIA</t>
  </si>
  <si>
    <t xml:space="preserve">Jandaia</t>
  </si>
  <si>
    <t xml:space="preserve">CONTRATAÇÃO DE EMPRESA ESPECIALIZADA EM IMPLANATAÇÃO E PRESTAÇÃO DE SERVIÇOS DE LOCAÇÃO DE SOFTWARES WEB COM ACESSO A DISPOSITIVOS ELETRÔNICOS COM INTERNET QUE ATENDAM AS LEGISLAÇÕES ESPECÍFICAS DA ADMINISTRAÇÃO PÚBLICA MUNICIPAL.</t>
  </si>
  <si>
    <t xml:space="preserve">https://pncp.gov.br/app/contratos/contratos/02879138000138/2025/42</t>
  </si>
  <si>
    <t xml:space="preserve">FUNDO MUNICIPAL DE EDUCACAO BASICA DE JAUPACI</t>
  </si>
  <si>
    <t xml:space="preserve">Jaupaci</t>
  </si>
  <si>
    <t xml:space="preserve">DESPESA C/ SERVIÇO DE LOCAÇÃO DE SISTEMA DE INFORMÁTICA DE SOFTWARE DE GESTÃO PÚBLICA, PARA ATENDER AS DEMANDAS DAS UNIDADES ESCOLARES DA REDE MUNICIPAL DE EDUCAÇÃO, JUNTO A SECRETARIA MUNICIPAL DE EDUCAÇÃO. CONTRATO Nª002/2024.</t>
  </si>
  <si>
    <t xml:space="preserve">https://pncp.gov.br/app/contratos/contratos/17479453000145/2024/2</t>
  </si>
  <si>
    <t xml:space="preserve">DESPESA C/ SERVIÇO DE LOCAÇÃO DE SISTEMA DE INFORMÁTICA DE SOFTWARE DE GESTÃO PÚBLICA, NO ATENDIMENTO AS DEMANDAS DAS UNIDADES ESCOLARES DA REDE MUNICIPAL DE EDUCAÇÃO. REFERENTE DE JANEIRO A DEZEMBRO DE 2025. CONTRATO Nª002/2025</t>
  </si>
  <si>
    <t xml:space="preserve">https://pncp.gov.br/app/contratos/contratos/17479453000145/2025/2</t>
  </si>
  <si>
    <t xml:space="preserve">MUNICIPIO DE JAUPACI</t>
  </si>
  <si>
    <t xml:space="preserve">-  DESPESA EFETUADA C/ LOCACAO DE SOFTWARE DE MODULO DE ORCAMENTO, BALANCETE, BALANCO, PATRIMONIO, TESOURARIA, FOLHA DE PAGAMENTO, PROTOCOLO E COMPRAS E ATUALIZACAO NO PERIODO DE 09/05/2025 ATE 30/11/2025..</t>
  </si>
  <si>
    <t xml:space="preserve">https://pncp.gov.br/app/contratos/contratos/01767342000102/2025/32</t>
  </si>
  <si>
    <t xml:space="preserve">MUNICIPIO DE JESUPOLIS</t>
  </si>
  <si>
    <t xml:space="preserve">Jesúpolis</t>
  </si>
  <si>
    <t xml:space="preserve">CONTRATO DE PRESTAÇÃO DE SERVIÇOS, QUE ENTRE SI CELEBRAM O FUNDO MUNICIPAL DE ASSISTÊNCIA SOCIAL DE JESÚPOLIS E A EMPRESA MEGASOFT INFORMÁTICA LTDA, NA FORMA ABAIXO</t>
  </si>
  <si>
    <t xml:space="preserve">https://pncp.gov.br/app/contratos/contratos/37623501000134/2026/5</t>
  </si>
  <si>
    <t xml:space="preserve">Contrato de prestação de serviços que entre si celebram o FUNDO MUNICIPAL DE SAÚDE MUNICÍPIO DE JESÚPOLIS, pessoa jurídica de direito público interno, com sede na Praça Luiz de Mattos, nº 100, Centro, Jesúpolis, GO, inscrito no CNPJ (MF) n° 10.411.406/0001-10 por intermédio do atual Gestor Municipal o senhor Matheus Leite de Bessa, brasileiro, casado, agente político, portador da cédula de identidade n° 4477258 DGPC GO e inscrito no CPF sob o nº 000.214.941-93, residente e domiciliado na cidade de Jesúpolis, Goiás, doravante denominado de CONTRATANTE, e de outro lado MEGASOFT INFORMATICA LTDA pessoa Jurídica, devidamente inscrita no CPF/CNPJ sob nº 37.615.788/0001-50, estabelecida na Rua Apinages, esquina com Rua Bororos, Quadra117 Lote 24/26 1 Andar, Santa Genoveva, Goiânia, GO, neste ato representado pelo Sr(a). Andre Graciano Costa, na função atual de Representante, portador do CPF n° 791.543.361-04, neste ato denominada simplesmente CONTRATADA, resolvem, de conformidade com o contido no Processo n° 1806/2025 e Pregão Eletrônico nº 001/2026, do presente instrumento de contrato, de conformidade com o disposto na Lei n.º 14.133/21 e posteriores alterações, mediante as seguintes cláusulas e condições:</t>
  </si>
  <si>
    <t xml:space="preserve">https://pncp.gov.br/app/contratos/contratos/37623501000134/2026/4</t>
  </si>
  <si>
    <t xml:space="preserve">CONTRATO DE PRESTAÇÃO DE SERVIÇOS, QUE ENTRE SI CELEBRAM O FUNDO MUNICIPAL DE EDUCAÇÃO DO MUNICIPIO DE JESÚPOLIS E A EMPRESA MEGASOFT INFORMATICA LTDA</t>
  </si>
  <si>
    <t xml:space="preserve">https://pncp.gov.br/app/contratos/contratos/37623501000134/2026/3</t>
  </si>
  <si>
    <t xml:space="preserve">CONTRATO DE PRESTAÇÃO DE SERVIÇOS, QUE ENTRE SI CELEBRAM A PREFEITURA MUNICIPAL DE JESÚPOLIS. E A EMPRESA MEGASOFT INFORMATICA LTDA, NA FORMA ABAIXO:</t>
  </si>
  <si>
    <t xml:space="preserve">https://pncp.gov.br/app/contratos/contratos/37623501000134/2026/2</t>
  </si>
  <si>
    <t xml:space="preserve">MUNICIPIO DE LEOPOLDO DE BULHOES</t>
  </si>
  <si>
    <t xml:space="preserve">Leopoldo de Bulhões</t>
  </si>
  <si>
    <t xml:space="preserve">CONTRATAÇÃO DE EMPRESA ESPECIALIZADA EM TECNOLOGIA DA INFORMAÇÃO, PARA
FORNECIMENTO DE LICENÇA DE DIREITO DE USO DE SOFTWARE EM PLATAFORMA ÚNICA DE
GESTÃO PÚBLICA COM MÓDULOS WEB, CONTÁBIL, ARRECADAÇÃO, CONTABILIDADE, COMPRAS E RECURSOS HUMANOS, ALÉM DE SUPORTE TÉCNICO E MANUTENÇÃO, INCLUINDO A IMPLANTAÇÃO, A CUSTOMIZAÇÃO, A PARAMETRIZAÇÃO E TREINAMENTO, PARA ATENDER A DEMANDA DAS SECRETARIAS DO PODER EXECUTIVO MUNICIPAL, JUNTO A PREFEITURA MUNICIPAL DE LEOPOLDO DE BULHÕES, CONFORME DESCRITO NO TERMO DE REFERÊNCIA ANEXO I DESTE EDITAL.</t>
  </si>
  <si>
    <t xml:space="preserve">https://pncp.gov.br/app/contratos/contratos/01067305000183/2026/187</t>
  </si>
  <si>
    <t xml:space="preserve">Contratação de empresa especializada em Locação de Sistemas de Informática (software de gestão pública).</t>
  </si>
  <si>
    <t xml:space="preserve">https://pncp.gov.br/app/contratos/contratos/01740463000152/2025/6</t>
  </si>
  <si>
    <t xml:space="preserve">O objeto do presente instrumento é a contratação de empresa especializada para IMPLANTAÇÃO E PRESTAÇÃO DE SERVIÇOS DE LOCAÇÃO DE SOFTWARE WEB DE GESTÃO PÚBLICA.</t>
  </si>
  <si>
    <t xml:space="preserve">https://pncp.gov.br/app/contratos/contratos/01174580000104/2026/41</t>
  </si>
  <si>
    <t xml:space="preserve">MUNICIPIO DE MORRO AGUDO DE GOIAS</t>
  </si>
  <si>
    <t xml:space="preserve">Morro Agudo de Goiás</t>
  </si>
  <si>
    <t xml:space="preserve">CONTRATO DE LOCAÇÃO DE SISTEMA INTEGRADO DE GESTÃO MUNICIPAL DE ÁREAS ESSENCIAIS DA ADMNISTRAÇÃO , ACESSÍVEL VIA WEB, CONTEMPLANDO OS SERVIÇOS DE IMPLANTAÇÃO, MIGRAÇÃO DE DADOS, TREINAMENTO, SUPORTE TÉCNICO E MANUTENÇÃO PELO PRAZO DE 12 (DOZE) MESES.</t>
  </si>
  <si>
    <t xml:space="preserve">https://pncp.gov.br/app/contratos/contratos/25043621000183/2026/25</t>
  </si>
  <si>
    <t xml:space="preserve">MUNICIPIO DE MUTUNOPOLIS</t>
  </si>
  <si>
    <t xml:space="preserve">Mutunópolis</t>
  </si>
  <si>
    <t xml:space="preserve">IMPLANTAÇÃO E PRESTAÇÃO DE SERVIÇOS DE LOCAÇÃO DE SOFTWARE WEB DE GESTÃO PÚBLICA, NAS ÁREAS: CONTABILIDADE PÚBLICA, FOLHA DE PAGAMENTO, PATRIMÔNIO, ALMOXARIFADO, COMPRAS, LICITAÇÃO, TESOURARIA, FROTA.</t>
  </si>
  <si>
    <t xml:space="preserve">https://pncp.gov.br/app/contratos/contratos/01799683000151/2026/205</t>
  </si>
  <si>
    <t xml:space="preserve">FUNDO MUNICIPAL DE EDUCACAO DE NEROPOLIS - FME</t>
  </si>
  <si>
    <t xml:space="preserve">Nerópolis</t>
  </si>
  <si>
    <t xml:space="preserve">contratação de licença de uso de sistema informatizado, em ambiente web, com hospedagem em servidor seguro, compreendendo a disponibilização de módulo adicional específico para a gestão da Educação Infantil, incluindo: sistema de matrícula online; controle de turmas, alunos e dados acadêmicos e acompanhamento pedagógico de crianças da Educação Infantil; Emissão de relatórios gerenciais; Acesso por múltiplos usuários simultaneamente; Suporte técnico e manutenção corretiva durante o período contratado</t>
  </si>
  <si>
    <t xml:space="preserve">https://pncp.gov.br/app/contratos/contratos/24121284000132/2025/18</t>
  </si>
  <si>
    <t xml:space="preserve">MUNICIPIO DE NOVA ROMA</t>
  </si>
  <si>
    <t xml:space="preserve">Nova Roma</t>
  </si>
  <si>
    <t xml:space="preserve">Fornecimento de licença de direito de uso de software em plataforma única de gestão pública com módulos web, suporte técnico e manutenção.</t>
  </si>
  <si>
    <t xml:space="preserve">https://pncp.gov.br/app/contratos/contratos/01067925000112/2025/1632</t>
  </si>
  <si>
    <t xml:space="preserve">MUNICIPIO DE NOVO BRASIL</t>
  </si>
  <si>
    <t xml:space="preserve">Novo Brasil</t>
  </si>
  <si>
    <t xml:space="preserve">CONTRATO DE PRESTAÇÃO DE SERVIÇOS DE IMPLANTAÇÃO E LOCAÇÃO DE SOFTWARES WEB DE GESTÃO PÚBLICA POR 12 (DOZE) MESES.</t>
  </si>
  <si>
    <t xml:space="preserve">https://pncp.gov.br/app/contratos/contratos/00006874000156/2026/25</t>
  </si>
  <si>
    <t xml:space="preserve">MUNICIPIO DE OURO VERDE DE GOIAS</t>
  </si>
  <si>
    <t xml:space="preserve">Ouro Verde de Goiás</t>
  </si>
  <si>
    <t xml:space="preserve">CONTRATO DE PRESTAÇÃO DE SERVIÇOS ENTRE O MUNICÍPIO DE OURO VERDE DE GOIÁS E A EMPRESA MEGASOFT INFORMÁTICA LTDA.</t>
  </si>
  <si>
    <t xml:space="preserve">https://pncp.gov.br/app/contratos/contratos/01485531000184/2026/156</t>
  </si>
  <si>
    <t xml:space="preserve">FUNDO MUNICIPAL DE EDUCACAO DE PADRE BERNARDO - FMME PADRE BERNARDO</t>
  </si>
  <si>
    <t xml:space="preserve">Padre Bernardo</t>
  </si>
  <si>
    <t xml:space="preserve">DESPESA DO CONTRATO Nº 271/2026 - SERVIÇOS DE LOCAÇÃO E IMPLANTAÇÃO DE SISTEMA DE INFORMÁTICA (SOFTWARE DE GESTÃO PÚBLICA EDUCACIONAL) NAS 23 UNIDADES ESCOLARES MUNICIPAIS, NO PERÍODO DE 05/05/2026 A 04/05/2027.</t>
  </si>
  <si>
    <t xml:space="preserve">https://pncp.gov.br/app/contratos/contratos/30638611000120/2026/74</t>
  </si>
  <si>
    <t xml:space="preserve">CONTRATAÇÃO DE EMPRESA ESPECIALIZADA PARA PRESTAÇÃO DE SERVIÇOS DE LOCAÇÃO E IMPLANTAÇÃO DE SISTEMA DE INFORMÁTICA (SOFTWARE DE GESTÃO PÚBLICA EDUCACIONAL) NAS 23 UNIDADES ESCOLARES MUNICIPAIS, NO PERÍODO DE 14 DE ABRIL DE 2021 A 14 DE ABRIL DE 2022.</t>
  </si>
  <si>
    <t xml:space="preserve">https://pncp.gov.br/app/contratos/contratos/30638611000120/2021/2</t>
  </si>
  <si>
    <t xml:space="preserve">MUNICIPIO DE PADRE BERNARDO</t>
  </si>
  <si>
    <t xml:space="preserve">O PRESENTE CONTRATO Nº: 008/2026 TEM POR OBJETO A IMPLANTAÇÃO/LOCAÇÃO/MANUTENÇÃO E SUPORTE DE SISTEMA DE INFORMAÇÃO PARA GESTÃO DA ADMINISTRAÇÃO PÚBLICA, QUE ATENDAM AS LEGISLAÇÕES ESPECÍFICAS, NO PERÍODO DE 14 DE JANEIRO DE 2026 ATÉ 13 DE JANEIRO DE 2027.</t>
  </si>
  <si>
    <t xml:space="preserve">https://pncp.gov.br/app/contratos/contratos/01170331000132/2026/160</t>
  </si>
  <si>
    <t xml:space="preserve">MUNICIPIO DE PARAUNA</t>
  </si>
  <si>
    <t xml:space="preserve">Paraúna</t>
  </si>
  <si>
    <t xml:space="preserve">CONTRATO Nº 148/2025, DO PREGÃO ELETRÔNICO Nº 004/2025, DO PROCESSO ADMINISTRATIVO Nº 14769/2025, CELEBRADO ENTRE O MUNICÍPIO DE PARAÚNA-GO E A EMPRESA MEGASOFT INFORMÁTICA LTDA, PARA O FORNECIMENTO DE PLATAFORMA DE SOFTWARE WEB PARA O MUNICÍPIO.</t>
  </si>
  <si>
    <t xml:space="preserve">https://pncp.gov.br/app/contratos/contratos/02394765000189/2025/110</t>
  </si>
  <si>
    <t xml:space="preserve">CONTRATO Nº 102/2025, DA DISPENSA DE LICITAÇÃO Nº 270/2025, DO PROCESSO ADMINISTRATIVO Nº 14339/2025, CELEBRADO ENTRE O MUNICÍPIO DE PARAÚNA-GO E A EMPRESA MEASOFT INFORMÁTICA LTDA, PARA O FORNECIMENTO DE SOFTWARE PELOPERÍODO DE 03 MESES.</t>
  </si>
  <si>
    <t xml:space="preserve">https://pncp.gov.br/app/contratos/contratos/02394765000189/2025/105</t>
  </si>
  <si>
    <t xml:space="preserve">MUNICIPIO DE PEDRO AFONSO</t>
  </si>
  <si>
    <t xml:space="preserve">Pedro Afonso</t>
  </si>
  <si>
    <t xml:space="preserve">CONTRATAÇÃO DE SERVIÇOS DE LOCAÇÃO DE SOFTWARE - SISTEMA INTEGRADO DE GESTÃO PUBLICA VIA WEB, EM CONFORMIDADE COM AS LEGISLAÇÕES ESPECÍFICAS, ABRANGENDO OS SEGUINTES MÓDULOS: CONTABILIDADE E FINANÇAS, RECURSOS HUMANOS, FOLHA DE PAGAMENTO, GESTÃO DE COMPRAS E LICITAÇÕES, ALMOXARIFADO, ARRECADAÇÃO E GESTÃO DO ISS/IBS, PATRIMONIO, PROTOCOLO, FROTA, TESOURARIA, E-SIC E PORTAL TRANSPARÊNCIA. A SOLUÇÃO VISA ATENDER AS NECESSIDADES DA SECRETARIA MUNICIPAL DE ADMINISTRAÇÃO.</t>
  </si>
  <si>
    <t xml:space="preserve">https://pncp.gov.br/app/contratos/contratos/02070589000120/2026/132</t>
  </si>
  <si>
    <t xml:space="preserve">CONTRATAÇÃO DE SERVIÇOS DE LOCAÇÃO DE SOFTWARE - SISTEMA INTEGRADO DE GESTÃO PUBLICA VIA WEB, EM CONFORMIDADE COM AS LEGISLAÇÕES ESPECÍFICAS, ABRANGENDO OS SEGUINTES MÓDULOS: CONTABILIDADE E FINANÇAS, RECURSOS HUMANOS, FOLHA DE PAGAMENTO, GESTÃO DE COMPRAS E LICITAÇÕES, ALMOXARIFADO, ARRECADAÇÃO E GESTÃO DO ISS/IBS, PATRIMONIO, PROTOCOLO, FROTA, TESOURARIA, E-SIC E PORTAL TRANSPARÊNCIA. A SOLUÇÃO VISA ATENDER AS NECESSIDADES DO FUNDO MUNICIPAL DE SAÚDE.</t>
  </si>
  <si>
    <t xml:space="preserve">https://pncp.gov.br/app/contratos/contratos/02070589000120/2026/131</t>
  </si>
  <si>
    <t xml:space="preserve">CONTRATAÇÃO DE SERVIÇOS DE LOCAÇÃO DE SOFTWARE - SISTEMA INTEGRADO DE GESTÃO PUBLICA VIA WEB, EM CONFORMIDADE COM AS LEGISLAÇÕES ESPECÍFICAS, ABRANGENDO OS SEGUINTES MÓDULOS: CONTABILIDADE E FINANÇAS, RECURSOS HUMANOS, FOLHA DE PAGAMENTO, GESTÃO DE COMPRAS E LICITAÇÕES, ALMOXARIFADO, ARRECADAÇÃO E GESTÃO DO ISS/IBS, PATRIMONIO, PROTOCOLO, FROTA, TESOURARIA, E-SIC E PORTAL TRANSPARÊNCIA. A SOLUÇÃO VISA ATENDER AS NECESSIDADES DO FUNDO MUNICIPAL DE EDUCAÇÃO.</t>
  </si>
  <si>
    <t xml:space="preserve">https://pncp.gov.br/app/contratos/contratos/02070589000120/2026/130</t>
  </si>
  <si>
    <t xml:space="preserve">CONTRATAÇÃO DE SERVIÇOS DE LOCAÇÃO DE SOFTWARE - SISTEMA INTEGRADO DE GESTÃO PUBLICA VIA WEB, EM CONFORMIDADE COM AS LEGISLAÇÕES ESPECÍFICAS, ABRANGENDO OS SEGUINTES MÓDULOS: CONTABILIDADE E FINANÇAS, RECURSOS HUMANOS, FOLHA DE PAGAMENTO, GESTÃO DE COMPRAS E LICITAÇÕES, ALMOXARIFADO, ARRECADAÇÃO E GESTÃO DO ISS/IBS, PATRIMONIO, PROTOCOLO, FROTA, TESOURARIA, E-SIC E PORTAL TRANSPARÊNCIA. A SOLUÇÃO VISA ATENDER AS NECESSIDADES DO FUNDO MUNICIPAL DE ASSISTÊNCIA SOCIAL.</t>
  </si>
  <si>
    <t xml:space="preserve">https://pncp.gov.br/app/contratos/contratos/02070589000120/2026/129</t>
  </si>
  <si>
    <t xml:space="preserve">MUNICIPIO DE PEIXE</t>
  </si>
  <si>
    <t xml:space="preserve">Peixe</t>
  </si>
  <si>
    <t xml:space="preserve">LOCAÇÃO DE SISTEMA DE GESTÃO PÚBLICA - SOFTWARES WEB, ABRANGENDO OS SEGUINTES MÓDULOS: CONTÁBIL E FINANCEIRO, RECURSOS HUMANOS, GESTÃO DE COMPRAS E LICITAÇÃO, BANCOS DE DADOS, ALMOXARIFADO, ARRECADAÇÃO, PATRIMÔNIO, PROTOCOLO, TESOURARIA, E-SIC, NOTA FISCAL ELETRÔNICA E PORTAL DA TRANSPARÊNCIA, PARA ATENDER AO MUNICÍPIO DE PEIXE - TO, BEM COMO AOS ÓRGÃOS MUNICIPAIS, INCLUINDO: FUNDO MUNICIPAL DE SAÚDE, FUNDO MUNICIPAL DE ASSISTÊNCIA SOCIAL, SECRETARIA MUNICIPAL DE EDUCAÇÃO E A SECRETARIA MUNICIPAL DE ADMINISTRAÇÃO E FINANÇAS, PARA ATENDER A DEMANDA DO PODER EXECUTIVO DO MUNICÍPIO DE PEIXE – TO.</t>
  </si>
  <si>
    <t xml:space="preserve">https://pncp.gov.br/app/contratos/contratos/02396166000102/2026/8</t>
  </si>
  <si>
    <t xml:space="preserve">MUNICIPIO DE PETROLINA DE GOIAS</t>
  </si>
  <si>
    <t xml:space="preserve">Petrolina de Goiás</t>
  </si>
  <si>
    <t xml:space="preserve">CONTRATAÇÃO DE EMPRESA ESPECIALIZADA EM IMPLANTAÇÃO E PRESTAÇÃO DE SERVIÇOS DE LOCAÇÃO DE SOFTWARES WEB COM ACESSO A QUAISQUER DISPOSITIVOS ELETRÔNICOS COM INTERNET (CELULAR, TABLET, ETC) EM QUAISQUER LUGARES DO PAÍS, QUE ATENDAM LEGISLAÇÕES ESPECÍFICAS, BEM COMO AS CONVERSÕES DOS DADOS EXISTENTES NO MUNICÍPIO, O TREINAMENTO DE TODOS OS FUNCIONÁRIOS NA UTILIZAÇÃO DOS SISTEMAS LOCADOS E O SUPORTE E MANUTENÇÃO DESTES SISTEMAS. OS SISTEMAS LOCADOS DEVEM ATENDER ÀS SEGUINTES ÁREAS: CONTABILIDADE PÚBLICA, ADMINISTRAÇÃO DE PESSOAL - FOLHA DE PAGAMENTO, PATRIMÔNIO, ALMOXARIFADO, ARRECADAÇÃO, COMPRAS, LICITAÇÃO, TESOURARIA, CONTROLE DE VEÍCULOS (FROTAS), CONTROLE DE PROCESSOS (PROTOCOLO) COM CONSULTA VIA INTERNET, CEMITÉRIO, ASSISTÊNCIA SOCIAL, E E-SIC, NOTA FISCAL ELETRÔNICA, APLICATIVO DE TUDO EM CONFORMIDADE COM AS ESPECIFICAÇÕES TÉCNICAS E SERVIÇOS DESCRITOS NOS ANEXOS, PARA ATENDIMENTO À LEGISLAÇÃO VIGENTE E ÀS NORMATIVAS DO TRIBUNAL DE CONTAS DOS MUNICÍPIOS DE GOIÁS TCM/GO, EM ATENDIMENTO ÀS NECESSIDADES DO MUNICÍPIO DE PETROLINA DE GOIÁS, CONFORME PREGÃO PRESENCIAL Nº 006/2025 - PROCESSO Nº 4524/2025.</t>
  </si>
  <si>
    <t xml:space="preserve">https://pncp.gov.br/app/contratos/contratos/01825413000178/2025/28</t>
  </si>
  <si>
    <t xml:space="preserve">MUNICIPIO DE PONTALINA</t>
  </si>
  <si>
    <t xml:space="preserve">Pontalina</t>
  </si>
  <si>
    <t xml:space="preserve">O objeto do presente instrumento é a contratação de empresa especializada  em tecnologia  da informação,  para fornecimento de licença  de direito  de uso de software em  plataforma  única  de gestão pública  com módulos  web, suporte  técnico  e manutenção, incluindo a  implantação,  a migração  de dados, a customização,  a parametrização  e treinamento,  para atender a demanda das Secretarias do  Poder executivo Municipal, junto a Prefeitura Municipal de Pontalina, conforme condições, descrições, quantidades e exigências estabelecidas neste edital e seus anexos.</t>
  </si>
  <si>
    <t xml:space="preserve">https://pncp.gov.br/app/contratos/contratos/01791276000106/2025/96</t>
  </si>
  <si>
    <t xml:space="preserve">MUNICIPIO DE PONTE ALTA DO TOCANTINS</t>
  </si>
  <si>
    <t xml:space="preserve">Ponte Alta do Tocantins</t>
  </si>
  <si>
    <t xml:space="preserve">CONTRATAÇÃO DE EMPRESA ESPECIALIZADA PARA FORNECIMENTO DE LICENÇA DE USO DE SOFTWARE DE SISTEMA DE GESTÃO CONTÁBIL, PATRIMONIAL, FINANCEIRO, ORÇAMENTÁRIA, ADMINISTRATIVA, RECURSOS HUMANOS, COMPRAS, LICITAÇÃO, ALMOXARIFADO, FROTA, ARRECADAÇÃO E PROTOCOLO, GESTÃO CONTÁBIL, RH E ARRECADAÇÃO, PORTAL TRANSPARÊNCIA E NOTA FISCAL ELETRÔNICA, E POR FIM, APLICATIVOS DE GESTÃO, COM CESSÃO DE DIREITO DE USO PARA NUMERO ILIMITADO DE USUÁRIOS SIMULTÂNEOS, INCLUINDO INSTALAÇÃO, IMPLANTAÇÃO TREINAMENTO/CAPACITAÇÃO.</t>
  </si>
  <si>
    <t xml:space="preserve">https://pncp.gov.br/app/contratos/contratos/01067974000155/2025/1</t>
  </si>
  <si>
    <t xml:space="preserve">MUNICIPIO DE PORANGATU</t>
  </si>
  <si>
    <t xml:space="preserve">Porangatu</t>
  </si>
  <si>
    <t xml:space="preserve">O objeto do presente instrumento é a contratação de empresa especializada para prestação de serviços de Cessão/Licença de uso de Softwares de gerenciamento de licitações/compras, gestão de contratos, gestão de frota, gestão de concessão de diária, gestão contábil, RH e arrecadação, gestão escolar, portal transparência e gestão de ISS/IBS com gestão de nota fiscal eletrônica, e por fim, aplicativos de gestão, para atender as necessidades da Secretaria Municipal de Administração e demais secretarias do paço municipal, para atender às necessidades dos órgãos e entidades da Administração Municipal , a serem executados com regime de dedicação exclusiva de mão de obra, nas condições estabelecidas no Termo de Referência.</t>
  </si>
  <si>
    <t xml:space="preserve">https://pncp.gov.br/app/contratos/contratos/01801612000146/2026/71</t>
  </si>
  <si>
    <t xml:space="preserve">MUNICIPIO DE RIALMA</t>
  </si>
  <si>
    <t xml:space="preserve">Rialma</t>
  </si>
  <si>
    <t xml:space="preserve">CONTRATO DE PRESTAÇÃO DE SERVIÇOS QUE ENTRE SI CELEBRAM O MUNICÍPIO DE RIALMA-GO E A EMPRESA MEGASOFT INFORMATICA LTDA</t>
  </si>
  <si>
    <t xml:space="preserve">https://pncp.gov.br/app/contratos/contratos/01135904000197/2026/24</t>
  </si>
  <si>
    <t xml:space="preserve">CONTRATO N.004-2024 DE SUPORTE E TREINAMENTO DE SISTEMAS DE INFORMÁTICA, QUE ENTRE SI CELEBRAM, SEGUNDO OS TERMOS DA LEI 14.133-2021. DE UM LADO, MEGA SUPORTE E SERVIÇOS EIRELI-EPP, E, DE OUTRO, RUBIATABA PREV - INSTITUTO DE PREVIDÊNCIA SOCIAL DO MUNICÍPIO DE RUBIATABA, RUBIATABA PREV PARA LOCAÇÃO DOS SISTEMAS DE SOFTWARE DE GESTÃO PÚBLICA</t>
  </si>
  <si>
    <t xml:space="preserve">https://pncp.gov.br/app/contratos/contratos/25044199000180/2023/4</t>
  </si>
  <si>
    <t xml:space="preserve">MUNICIPIO DE SANTA FE DE GOIAS</t>
  </si>
  <si>
    <t xml:space="preserve">Santa Fé de Goiás</t>
  </si>
  <si>
    <t xml:space="preserve">Contratação de empresa especializada em implantação e prestação de serviços de locação de software web de Gestão pública.</t>
  </si>
  <si>
    <t xml:space="preserve">https://pncp.gov.br/app/contratos/contratos/25107517000105/2025/234</t>
  </si>
  <si>
    <t xml:space="preserve">MUNICIPIO DE SAO JOAO D'ALIANCA</t>
  </si>
  <si>
    <t xml:space="preserve">São João d'Aliança</t>
  </si>
  <si>
    <t xml:space="preserve">O objeto do presente Contrato é a Locação de Sistemas de Informática (software de gestão pública), com acesso a quaisquer dispositivos
(Smartphone, Tablet, etc), em qualquer localidade do país, que atendam legislações específicas, Contabilidade
Pública, Administração de Pessoal – Folha de Pagamento, Patrimônio, Almoxarifado, Compras, Licitação,
Tesouraria, Controle de Veículos (Frotas), Controle de Processos (Protocolo) com consulta via internet e por
quaisquer dispositivos com acesso a internet, e Portal de Transparência e E-Sic, Nota Fiscal Eletrônica, com
serviços disponíveis para os cidadãos, em conformidade com as especificações técnicas e serviços descritos
no Termo de Referência – Anexo I do Edital de Pregão Eletrônico nº 21/2025</t>
  </si>
  <si>
    <t xml:space="preserve">https://pncp.gov.br/app/contratos/contratos/01313113000100/2025/865</t>
  </si>
  <si>
    <t xml:space="preserve">MUNICIPIO DE SAO SALVADOR DO TOCANTINS</t>
  </si>
  <si>
    <t xml:space="preserve">São Salvador do Tocantins</t>
  </si>
  <si>
    <t xml:space="preserve">objeto do presente instrumento é a contratação de solução de tecnologia da informação e comunicação de software em plataforma única de gestão pública com módulos web, suporte técnico e manutenção, incluindo a implantação, a migração de dados, a customização, a parametrização e treinamento.</t>
  </si>
  <si>
    <t xml:space="preserve">https://pncp.gov.br/app/contratos/contratos/37344371000109/2024/29</t>
  </si>
  <si>
    <t xml:space="preserve">locação de software</t>
  </si>
  <si>
    <t xml:space="preserve">https://pncp.gov.br/app/contratos/contratos/37344371000109/2024/21</t>
  </si>
  <si>
    <t xml:space="preserve">Locação de Sistemas de Informática (software de gestão pública).</t>
  </si>
  <si>
    <t xml:space="preserve">https://pncp.gov.br/app/contratos/contratos/01740489000109/2025/1736</t>
  </si>
  <si>
    <t xml:space="preserve">MUNICIPIO DE URUACU</t>
  </si>
  <si>
    <t xml:space="preserve">Uruaçu</t>
  </si>
  <si>
    <t xml:space="preserve">O OBJETO DO PRESENTE INSTRUMENTO É A CONTRATAÇÃO DE EMPRESA ESPECIALIZADA EM TECNOLOGIA DA INFORMAÇÃO, PARA FORNECIMENTO DE LICENÇA DE DIREITO DE USO DE SOFTWARE EM PLATAFORMA ÚNICA DE GESTÃO PÚBLICA COM MÓDULOS WEB, SUPORTE TÉCNICO E MANUTENÇÃO, INCLUINDO A IMPLANTAÇÃO, A MIGRAÇÃO DE DADOS, A CUSTOMIZAÇÃO, A PARAMETRIZAÇÃO E TREINAMENTO, PARA ATENDER A DEMANDA DAS SECRETARIAS DO MUNICÍPIO DE URUAÇU-GO, NAS CONDIÇÕES ESTABELECIDAS NO TERMO DE REFERÊNCIA.</t>
  </si>
  <si>
    <t xml:space="preserve">https://pncp.gov.br/app/contratos/contratos/01219807000182/2025/373</t>
  </si>
  <si>
    <t xml:space="preserve">O presente objeto é a contratação de empresa especializada em tecnologia da informação para o fornecimento de licença de uso de software em plataforma integrada de gestão pública, com módulos web, incluindo os serviços de implantação, migração de dados, customização, parametrização, suporte técnico, manutenção e treinamento de usuários, a fim de atender às necessidades operacionais e administrativas das Secretarias da Prefeitura Municipal de Uruaçu-GO, nas condições estabelecidas no Termo de Referência.</t>
  </si>
  <si>
    <t xml:space="preserve">https://pncp.gov.br/app/contratos/contratos/01219807000182/2025/120</t>
  </si>
  <si>
    <t xml:space="preserve">MUNICIPIO DE VICENTINOPOLIS</t>
  </si>
  <si>
    <t xml:space="preserve">Vicentinópolis</t>
  </si>
  <si>
    <t xml:space="preserve">Contratação de empresa especializada em implantação e prestação de serviços de locação de Softwares Web</t>
  </si>
  <si>
    <t xml:space="preserve">https://pncp.gov.br/app/contratos/contratos/00044834000107/2025/11</t>
  </si>
  <si>
    <t xml:space="preserve">MUNICIPIO DE VILA BOA</t>
  </si>
  <si>
    <t xml:space="preserve">Vila Boa</t>
  </si>
  <si>
    <t xml:space="preserve">CONTRATAÇÃO DE LICENÇA
DE DIREITO DE USO DE SISTEMA NA ÁREA DE GESTÃO PÚBLICA NO MUNICÍPIO</t>
  </si>
  <si>
    <t xml:space="preserve">https://pncp.gov.br/app/contratos/contratos/37388378000114/2026/15</t>
  </si>
  <si>
    <t xml:space="preserve">CAMARA MUNICIPAL DE ADELANDIA</t>
  </si>
  <si>
    <t xml:space="preserve">Câmara</t>
  </si>
  <si>
    <t xml:space="preserve">Adelândia</t>
  </si>
  <si>
    <t xml:space="preserve">- LOCAÇÃO DE SISTEMA E SOFTWARE DE GESTÃO PUBLICA PARA ESTA CAMARA MUNICIPAL, DURANTE O PERIODO DE 07-01 A 31-12-2026.</t>
  </si>
  <si>
    <t xml:space="preserve">https://pncp.gov.br/app/contratos/contratos/02928213000103/2026/4</t>
  </si>
  <si>
    <t xml:space="preserve">CAMARA MUNICIPAL DE ALTO HORIZONTE</t>
  </si>
  <si>
    <t xml:space="preserve">Alto Horizonte</t>
  </si>
  <si>
    <t xml:space="preserve">CONTRATAÇÃO DE LOCAÇÃO SUPORTE E TREINAMENTO DO SISTEMA DE INFORMÁTICA MEGA SOFTWARE DOS MODULOS DESCRITO NO CONTRATO FIRMADO.</t>
  </si>
  <si>
    <t xml:space="preserve">https://pncp.gov.br/app/contratos/contratos/33331422000107/2025/27</t>
  </si>
  <si>
    <t xml:space="preserve">CAMARA MUNICIPAL DE AMARALINA</t>
  </si>
  <si>
    <t xml:space="preserve">Amaralina</t>
  </si>
  <si>
    <t xml:space="preserve">CONTRATO DE PRESTAÇÃO DE SERVIÇOS DE SUPORTE EM SOFTWARE DE GESTÃO PÚBLICA, ATRAVES DOS MÓDULOS DE CONTABILIDADE, COMPRAS, PROTOCOLO, RH, PORTAL DA TRANSPARENCIA DURANTE O PERIODO DE JANEIRO A DEZEMBRO DE 2026.</t>
  </si>
  <si>
    <t xml:space="preserve">https://pncp.gov.br/app/contratos/contratos/04885730000178/2026/12</t>
  </si>
  <si>
    <t xml:space="preserve">CAMARA MUNICIPAL DE COCALZINHO DE GOIAS</t>
  </si>
  <si>
    <t xml:space="preserve">CONTRATO DE PRESTAÇÃO DE SERVIÇOS DE SUPORTE E TREINAMENTO DE SISTEMAS DE INFORMATICA - FORNECIMENTO DE SOFTWARE DE GESTÃO</t>
  </si>
  <si>
    <t xml:space="preserve">https://pncp.gov.br/app/contratos/contratos/01096245000127/2026/5</t>
  </si>
  <si>
    <t xml:space="preserve">https://pncp.gov.br/app/contratos/contratos/01096245000127/2025/12</t>
  </si>
  <si>
    <t xml:space="preserve">CAMARA MUNICIPAL DE JANDAIA</t>
  </si>
  <si>
    <t xml:space="preserve">DESPESA COM CONTRATO DE SERVICOS DE CONCESSAO DE LICENCA DE USO DE SOFTWARE DE GESTAO PUBLICA COM SUPORTE E TREINAMENTO, PERIODO DE JANEIRO A DEZEMBRO DE 2026, CONFORME DISPENSA DE LICITACAO Nº 001/2026 E CONTRATO Nº 001/2026, ANEXOS.</t>
  </si>
  <si>
    <t xml:space="preserve">https://pncp.gov.br/app/contratos/contratos/00799207000178/2026/1</t>
  </si>
  <si>
    <t xml:space="preserve">CONTRATO DE PREST. DE SERV. C/ LOCAÇÃO DE SISTEMAS DE INFORMÁTICA (SOFTWARES DE GESTÃO PÚBLICA - R.H., COMPRAS E PORTAL DA TRANSPARÊNCIA) E SUPORTE TÉCN. P/ MANUT. DAS ATIVIDADES ADMINISTRATIVAS DA CÂMARA, DE 08/01/25 À 30/06/2025.</t>
  </si>
  <si>
    <t xml:space="preserve">https://pncp.gov.br/app/contratos/contratos/00799207000178/2025/1</t>
  </si>
  <si>
    <t xml:space="preserve">CAMARA MUNICIPAL DE PALMELO</t>
  </si>
  <si>
    <t xml:space="preserve">Palmelo</t>
  </si>
  <si>
    <t xml:space="preserve">O objeto do presente Contrato de Suporte e Treinamento de Sistemas de informática, locados pela contratante nos módulos com todas as ferramentas de balancete, compras, rh, portal da transparencia.</t>
  </si>
  <si>
    <t xml:space="preserve">https://pncp.gov.br/app/contratos/contratos/04827414000140/2026/3</t>
  </si>
  <si>
    <t xml:space="preserve">locação de software e suporte e treinamento de sistemas de informática.</t>
  </si>
  <si>
    <t xml:space="preserve">https://pncp.gov.br/app/contratos/contratos/04827414000140/2025/8</t>
  </si>
  <si>
    <t xml:space="preserve">CAMARA MUNICIPAL DE SAO JOAO DA PARAUNA</t>
  </si>
  <si>
    <t xml:space="preserve">São João da Paraúna</t>
  </si>
  <si>
    <t xml:space="preserve">DESPESA PROVENIENTE DO VALOR GLOBAL DO CONTRATO 001/2025 REFERENTE A LOCAÇÃO DO SISTEMA DE GESTÃO MEGASOFT DURANTE O PERIODO DE 02/01/2026 A 31/12/2026, CONFORME CONTRATO 001/2026, ANEXO.</t>
  </si>
  <si>
    <t xml:space="preserve">https://pncp.gov.br/app/contratos/contratos/05116995000174/2026/1</t>
  </si>
  <si>
    <t xml:space="preserve">CAMARA MUNICIPAL DE SITIO D'ABADIA</t>
  </si>
  <si>
    <t xml:space="preserve">PRESTAÇÃO DE SERVIÇOS COM LOCAÇÃO DE SISTEMA INFORMATIZADO EM GESTAO PUBLICA E SUPORTE TÉCNICO, DESTINADOS A MANUTENÇÃO DO LEGISLATIVO MUNICIPAL.</t>
  </si>
  <si>
    <t xml:space="preserve">https://pncp.gov.br/app/contratos/contratos/01977854000195/2026/2</t>
  </si>
  <si>
    <t xml:space="preserve">Contrato de Suporte e treinamento de sistemas de informática, que entre si celebram, segundo os termos da Lei 14.133/21, de um lado, MEGA SERVICES LTDA, e, de outro, CÂMARA MUNICIPAL DE SITIO D’ABADIA para suporte e treinamento dos Sistemas de software de gestão pública no município de SITIO D’ABADIA/ GO.</t>
  </si>
  <si>
    <t xml:space="preserve">https://pncp.gov.br/app/contratos/contratos/01977854000195/2025/27</t>
  </si>
  <si>
    <t xml:space="preserve">ALVORADA DO NORTE CAMARA MUNICIPAL</t>
  </si>
  <si>
    <t xml:space="preserve">Contrato de Suporte e treinamento de sistemas de informática, que entre si celebram, segundo os termos da Lei 14.133/21, de um lado, MEGA SUPORTE E SERVIÇOS LTDA, e, de outro, CÂMARA
MUNICIPAL DE ALVORADA DO NORTE; para suporte e treinamento dos Sistemas de software de gestão pública no município de ALVORADA DO NORTE / GO.</t>
  </si>
  <si>
    <t xml:space="preserve">https://pncp.gov.br/app/contratos/contratos/01736644000105/2024/1</t>
  </si>
  <si>
    <t xml:space="preserve">CAMARA MUNICIPAL DE ANICUNS</t>
  </si>
  <si>
    <t xml:space="preserve">CONTRATAÇÃO DE EMPRESA ESPECIALIZADA EM FORNECIMENTO DE SISTEMA DE GESTÃO.</t>
  </si>
  <si>
    <t xml:space="preserve">https://pncp.gov.br/app/contratos/contratos/02609627000170/2024/2</t>
  </si>
  <si>
    <t xml:space="preserve">CAMARA MUNICIPAL DE ARAGARCAS</t>
  </si>
  <si>
    <t xml:space="preserve">Locação de Software de Gestão</t>
  </si>
  <si>
    <t xml:space="preserve">https://pncp.gov.br/app/contratos/contratos/01870847000190/2023/30</t>
  </si>
  <si>
    <t xml:space="preserve">LOCAÇÃO DE SOFTWARE DE GESTÃO</t>
  </si>
  <si>
    <t xml:space="preserve">https://pncp.gov.br/app/contratos/contratos/01870847000190/2024/7</t>
  </si>
  <si>
    <t xml:space="preserve">CAMARA MUNICIPAL DE ARUANA</t>
  </si>
  <si>
    <t xml:space="preserve">Aruanã</t>
  </si>
  <si>
    <t xml:space="preserve">O objeto do presente Contrato é a Locação de Sistemas de Informática (software de gestão pública)</t>
  </si>
  <si>
    <t xml:space="preserve">https://pncp.gov.br/app/contratos/contratos/26868133000178/2023/39</t>
  </si>
  <si>
    <t xml:space="preserve">CAMARA MUNICIPAL DE BANDEIRANTES DO TOCANTINS</t>
  </si>
  <si>
    <t xml:space="preserve">Bandeirantes do Tocantins</t>
  </si>
  <si>
    <t xml:space="preserve">Contratação de licença do uso de software de sistema de gestão contábil, financeira, orçamentaria, gestão de compras, licitações, patrimônio, recursos humanos, portal da transparência, banco de dados, e administrativa, com cessão de direito de uso para número ilimitado de usuários simultâneos, para atendimento das demandas da Câmara Municipal de Bandeirantes do Tocantins/TO.</t>
  </si>
  <si>
    <t xml:space="preserve">https://pncp.gov.br/app/contratos/contratos/04400037000168/2025/7</t>
  </si>
  <si>
    <t xml:space="preserve">CAMARA MUNICIPAL BARRO ALTO GO</t>
  </si>
  <si>
    <t xml:space="preserve">Barro Alto</t>
  </si>
  <si>
    <t xml:space="preserve">CONTRATAÇÃO DE EMPRESA PARA PRESTAÇÃO DE SERVIÇOS TÉCNICOS ESPECIALIZADOS EM LOCAÇÃO, MANUTENÇÃO E SUPORTE DE SISTEMA DE INFORMAÇÃO PARA GESTÃO PÚBLICA ADMINISTRATIVA PARA ATENDER AS NECESSIDADES DA CÂMARA MUNICIPAL DE BARRO ALTO/GO</t>
  </si>
  <si>
    <t xml:space="preserve">https://pncp.gov.br/app/contratos/contratos/00419810000187/2024/2</t>
  </si>
  <si>
    <t xml:space="preserve">CAMARA MUNICIPAL DE BELA VISTA DE GOIAS</t>
  </si>
  <si>
    <t xml:space="preserve">Contrato de Suporte e treinamento de sistemas de
informática, que entre si celebram, segundo os termos da
Lei 14.133/21, de um lado, MEGA SUPORTE E
SERVIÇOS LTDA, e, de outro, CÂMARA
MUNICIPAL DE BELA VISTA DE GOIÁS; para
suporte e treinamento dos Sistemas de software de
gestão pública no município de BELA VISTA DE
GOIÁS / GO</t>
  </si>
  <si>
    <t xml:space="preserve">https://pncp.gov.br/app/contratos/contratos/03043283000147/2024/2</t>
  </si>
  <si>
    <t xml:space="preserve">CAMARA MUNICIPAL DE BOM JARDIM DE GOIAS</t>
  </si>
  <si>
    <t xml:space="preserve">Bom Jardim de Goiás</t>
  </si>
  <si>
    <t xml:space="preserve">CONTRATO PARA PRESTACAO DE SERVICOS NA LOCACAO DE SISTEMA DE INFORMATICA(SOFTWARE DE GESTAO PUBLICA)MODULOS:CONTABILIDADE,RH,GESTAO DE COMPRAS,ORGANIZACIONAL E MODULO PORTAL DA TRANSPARENCIA, CFE.PROC.DE DISPENSA 02/2024 E CONTRATO 10/2024.</t>
  </si>
  <si>
    <t xml:space="preserve">https://pncp.gov.br/app/contratos/contratos/04252256000147/2024/32</t>
  </si>
  <si>
    <t xml:space="preserve">CABECEIRAS DE GOIAS CAMARA MUNICIPAL</t>
  </si>
  <si>
    <t xml:space="preserve">Cabeceiras</t>
  </si>
  <si>
    <t xml:space="preserve">Prestação de serviços de locação de software de gestão administrativa.</t>
  </si>
  <si>
    <t xml:space="preserve">https://pncp.gov.br/app/contratos/contratos/24855488000105/2024/6</t>
  </si>
  <si>
    <t xml:space="preserve">CONTRATO DE LOCAÇÃO DE SOFTWARE DE GESTÃO PUBLICA COM SUPORTE E TREINAMENTO COM A EMPRESA MEGA SUPORTE E SERVIÇOS LTDA.</t>
  </si>
  <si>
    <t xml:space="preserve">https://pncp.gov.br/app/contratos/contratos/01096245000127/2024/5</t>
  </si>
  <si>
    <t xml:space="preserve">CAMARA MUNICIPAL DE COLINAS DO SUL DO PODER LEGISLATIVO</t>
  </si>
  <si>
    <t xml:space="preserve">Contratação de prestador de serviços para suporte e treinamento dos sistemas de informática com fornecimento de software de gestão pública, em atendimento as necessidades da Câmara Municipal de Colinas do Sul.</t>
  </si>
  <si>
    <t xml:space="preserve">https://pncp.gov.br/app/contratos/contratos/08276486000105/2024/3</t>
  </si>
  <si>
    <t xml:space="preserve">CAMARA MUNICIPAL DE CRISTIANOPOLIS</t>
  </si>
  <si>
    <t xml:space="preserve">LOCAÇÃO DE SOFTWARE DE GESTAO PUBLICA</t>
  </si>
  <si>
    <t xml:space="preserve">https://pncp.gov.br/app/contratos/contratos/05386101000166/2025/1</t>
  </si>
  <si>
    <t xml:space="preserve">CAMARA MUNICIPAL DE DIANOPOLIS</t>
  </si>
  <si>
    <t xml:space="preserve">Dianópolis</t>
  </si>
  <si>
    <t xml:space="preserve">LOCAÇÃO DE SOFTWARE DE GESTÃO PÚBLICA, COMPOSTO DOS MÓDULOS CONTABILIDADE; RECURSOS HUMANOS; GESTÃO DE COMPRAS E MÓDULO PORTAL DA TRANSPARÊNCIA, PARA ATENDER AS NECESSIDADES DA CÂMARA MUNICIPAL</t>
  </si>
  <si>
    <t xml:space="preserve">https://pncp.gov.br/app/contratos/contratos/02535379000160/2025/27</t>
  </si>
  <si>
    <t xml:space="preserve">CAMARA MUNICIPAL DE DIVINOPOLIS DE GOIAS</t>
  </si>
  <si>
    <t xml:space="preserve">Divinópolis de Goiás</t>
  </si>
  <si>
    <t xml:space="preserve">DESPESA COM CONTRATO DE SERVICOS DE CONCESSAO DE LICENCA DE USO DE SOFTWARE DE GESTAO PUBLICA COM SUPORTE E TREINAMENTO, PERIODO DE JANEIRO A DEZEMBRO DE 2024, CONFORME DISPENSA DE LICITACAO Nº 009/2024 E CONTRATO Nº 009/2024, ANEXOS.</t>
  </si>
  <si>
    <t xml:space="preserve">https://pncp.gov.br/app/contratos/contratos/04892548000144/2024/6</t>
  </si>
  <si>
    <t xml:space="preserve">DESPESA COM CONTRATO DE SERVICOS DE CONCESSAO DE LICENCA DE USO DE SOFTWARE DE GESTAO PUBLICA COM SUPORTE E TREINAMENTO DO MESMO, PERIODO DE JANEIRO A DEZEMBRO DE 2023, CONFORME DISPENSA DE LICITACAO Nº 002/2023 E CONTRATO Nº 003/2023, ANEXOS.</t>
  </si>
  <si>
    <t xml:space="preserve">https://pncp.gov.br/app/contratos/contratos/04892548000144/2023/3</t>
  </si>
  <si>
    <t xml:space="preserve">CAMARA MUNICIPAL DE GUARINOS</t>
  </si>
  <si>
    <t xml:space="preserve">Guarinos</t>
  </si>
  <si>
    <t xml:space="preserve">CONTRATAÇÃO DE EMPRESA PARA LOCAÇÃO DE SISTEMA INTEGRADO DE GESTÃO PÚBLICA E SISTEMA VIA WEB.</t>
  </si>
  <si>
    <t xml:space="preserve">https://pncp.gov.br/app/contratos/contratos/04617808000173/2025/4</t>
  </si>
  <si>
    <t xml:space="preserve">CAMARA MUNICIPAL DE HIDROLINA</t>
  </si>
  <si>
    <t xml:space="preserve">Hidrolina</t>
  </si>
  <si>
    <t xml:space="preserve">DESPESA COM CONTRATO DE PRESTAÇÃO DE SERVIÇOS DE LOCAÇÃO DE SISTEMAS DE SOFTWARE DE GESTÃO PUBLICA COM SUPORTE E TREINAMENTO AO USUÁRIO DA CÂMARA MUNICIPAL DE HIDROLINA DURANTE O EXERCÍCIO DE 2024.</t>
  </si>
  <si>
    <t xml:space="preserve">https://pncp.gov.br/app/contratos/contratos/33331588000115/2024/8</t>
  </si>
  <si>
    <t xml:space="preserve">IPIRANGA DE GOIAS CAMARA MUNICIPAL</t>
  </si>
  <si>
    <t xml:space="preserve">Ipiranga de Goiás</t>
  </si>
  <si>
    <t xml:space="preserve">CONTRATO N°07 CONTRATAÇÃO DE EMPRESA PARA PRESTAÇÃO DE SERVIÇO EM SUPORTE E TREINAMENTO DOS SISTEMAS DE INFORMÁTICA (SOFTWARE DE GESTÃO PÚBLICA).12 PARCELAS DE R$1.500,00 CADA.</t>
  </si>
  <si>
    <t xml:space="preserve">https://pncp.gov.br/app/contratos/contratos/04231245000180/2024/6</t>
  </si>
  <si>
    <t xml:space="preserve">CAMARA MUNICIPAL DE IVOLANDIA</t>
  </si>
  <si>
    <t xml:space="preserve">CONTRATO N° 011/2024, REFERENTE A CONTRATAÇÃO DE EMPRESA ESPECIALIZADA NA LOCAÇÃO DE SERVIÇO DE SISTEMA DE INFORMÁTICA (SOFTWARE) DE GESTÃO PÚBLICA, MÓDULOS: ORGANIZACIONAL. CONTABILIDADE, RECURSOS HUMANOS, GESTÃO DE COMPRAS, BANCO DE DADOS, PARA ATENDIMENTO A CÂMARA MUNICIPAL, DURANTE A SESSÃO LEGISLATIVA DO ANO DE 2024.</t>
  </si>
  <si>
    <t xml:space="preserve">https://pncp.gov.br/app/contratos/contratos/03274207000142/2024/8</t>
  </si>
  <si>
    <t xml:space="preserve">CAMARA MUNICIPAL DE JUSSARA</t>
  </si>
  <si>
    <t xml:space="preserve">Jussara</t>
  </si>
  <si>
    <t xml:space="preserve">Treinamento dos sistemas de informática (software de gestão pública) locados nos módulos de contabilidade, recursos humanos, compras e portal da transparência.</t>
  </si>
  <si>
    <t xml:space="preserve">https://pncp.gov.br/app/contratos/contratos/01650166000116/2024/9</t>
  </si>
  <si>
    <t xml:space="preserve">MARZAGAO CAMARA MUNICIPAL</t>
  </si>
  <si>
    <t xml:space="preserve">O OBJETO DO PRESENTE CONTRATO É SUPORTE E TREINAMENTO DOS SISTEMAS DE INFORMATICA (SOFTWARE DE GESTÃO PUBLICA - MEGAADMWEB), PARA O PERIODO DE JANEIRO A DEZEMBRO DE 2024, VALOR MENSAL DE R$ 1.300,00 E VALOR GLOBAL R$ 15.600,00</t>
  </si>
  <si>
    <t xml:space="preserve">https://pncp.gov.br/app/contratos/contratos/00817133000155/2024/6</t>
  </si>
  <si>
    <t xml:space="preserve">NIQUELANDIA CAMARA MUNICIPAL</t>
  </si>
  <si>
    <t xml:space="preserve">Niquelândia</t>
  </si>
  <si>
    <t xml:space="preserve">Contratação de Empresa para Prestação de serviços técnicos especializados em manutenção e suporte de sistema de informação para gestão pública administrativa para atender as necessidades administrativas da Câmara Municipal de Niquelândia/GO.</t>
  </si>
  <si>
    <t xml:space="preserve">https://pncp.gov.br/app/contratos/contratos/33329806000187/2024/2</t>
  </si>
  <si>
    <t xml:space="preserve">contratação da serviços de locação de software e portal da transparência e o Suporte e Treinamento dos Sistemas de Informática (software de gestão pública), Informamos que nosso pleito se faz necessário, tendo em vista que os serviços contábeis são todos padronizados e informados pelo sistema de computação por meio de locação de software próprio e configurado para atender as exigências do TCM.</t>
  </si>
  <si>
    <t xml:space="preserve">https://pncp.gov.br/app/contratos/contratos/04827414000140/2024/7</t>
  </si>
  <si>
    <t xml:space="preserve">CAMARA MUNICIPAL DE PIRANHAS GOIAS</t>
  </si>
  <si>
    <t xml:space="preserve">Piranhas</t>
  </si>
  <si>
    <t xml:space="preserve">LOCAÇÃO DE SISTEMAS DE INFORMATICA</t>
  </si>
  <si>
    <t xml:space="preserve">https://pncp.gov.br/app/contratos/contratos/04258814000181/2025/7</t>
  </si>
  <si>
    <t xml:space="preserve">CONTRATO DE SERVIÇOS DE SUPORTE E TREINAMENTO DOS SISTEMAS DE INFORMATICA ( SOFTWARE DE GESTAO PUBLICA ) PARA CAMARA MUNICIPAL</t>
  </si>
  <si>
    <t xml:space="preserve">https://pncp.gov.br/app/contratos/contratos/04258814000181/2024/2</t>
  </si>
  <si>
    <t xml:space="preserve">CAMARA MUNICIPAL DE PIRAQUE</t>
  </si>
  <si>
    <t xml:space="preserve">Piraquê</t>
  </si>
  <si>
    <t xml:space="preserve">Contrato de prestaçao de serviços especializados em consultoria e assessoria técnica para suporte, implantação e treinamento nos sistemas de informática/software de gestão pública, incluindo os módulos de contabilidade, recursos humanos, compras e portal da transparência, conforme descrito no termo de referência.</t>
  </si>
  <si>
    <t xml:space="preserve">https://pncp.gov.br/app/contratos/contratos/25063967000143/2025/6</t>
  </si>
  <si>
    <t xml:space="preserve">CAMARA MUNICIPAL DE SAO PATRICIO</t>
  </si>
  <si>
    <t xml:space="preserve">São Patrício</t>
  </si>
  <si>
    <t xml:space="preserve">CONTRATO DE SUPORTE E TREINAMENTO DE SISTEMAS DE INFORMÁTICA E LOCAÇÃO DOS SISTEMAS DE SOFTWARE DE GESTÃO PÚBLICA.</t>
  </si>
  <si>
    <t xml:space="preserve">https://pncp.gov.br/app/contratos/contratos/01618167000183/2024/8</t>
  </si>
  <si>
    <t xml:space="preserve">TOCANTINOPOLIS CAMARA MUNICIPAL</t>
  </si>
  <si>
    <t xml:space="preserve">Tocantinópolis</t>
  </si>
  <si>
    <t xml:space="preserve">Contratação de empresa para a prestação de serviços de locação de sistema de software de gestão pública (MEGAADMWEB), incluindo os serviços de suporte e treinamento do quadro efetivo da Câmara Municipal de Tocantinópolis – TO.</t>
  </si>
  <si>
    <t xml:space="preserve">https://pncp.gov.br/app/contratos/contratos/02673028000115/2025/6</t>
  </si>
  <si>
    <t xml:space="preserve">CAMARA MUNICIPAL DE URUACU GO</t>
  </si>
  <si>
    <t xml:space="preserve">CONTRATAÇÃO DE EMPRESA PARA SUPORTE DE SISTEMA DE INFORMÁTICA ABRANGENDO OS MÓDULOS DE CONTABILIDADE, RECURSOS HUMANOS, GESTÃO DE COMPRAS E PORTAL DA TRANSPARÊNCIA, DESTINADO À GESTÃO PÚBLICA DA CÂMARA MUNICIPAL DE URUAÇU.</t>
  </si>
  <si>
    <t xml:space="preserve">https://pncp.gov.br/app/contratos/contratos/33331596000161/2024/15</t>
  </si>
  <si>
    <t xml:space="preserve">- DESPESA EFETUADA C/ SERVIÇOS PRESTADOS NA LOCAÇÃO DE SISTEMA DE GESTÃO PUBLICA PARA ESTA CAMARA MUNICIPAL, DURANTE O PERIODO DE 08/01 A 31/12/2025.</t>
  </si>
  <si>
    <t xml:space="preserve">https://pncp.gov.br/app/contratos/contratos/02928213000103/2025/5</t>
  </si>
  <si>
    <t xml:space="preserve">- DESPESA EFETUADA C/ LOCACAO DE SISTEMA DE GESTAO PUBLICA PARA ESTA CAMARA MUNICIPAL, DURANTE O PERIDO DE 08/01 A 31/12/2024.</t>
  </si>
  <si>
    <t xml:space="preserve">https://pncp.gov.br/app/contratos/contratos/02928213000103/2024/9</t>
  </si>
  <si>
    <t xml:space="preserve">ALEXANIA CAMARA MUNICIPAL</t>
  </si>
  <si>
    <t xml:space="preserve">Alexânia</t>
  </si>
  <si>
    <t xml:space="preserve">LICENCIAMENTO DE SOFTWARE DE GESTÃO PÚBLICA</t>
  </si>
  <si>
    <t xml:space="preserve">https://pncp.gov.br/app/contratos/contratos/24857781000101/2025/46</t>
  </si>
  <si>
    <t xml:space="preserve">EMPRESA ESPECIALIZADA EM SISTEMA PUBLICO</t>
  </si>
  <si>
    <t xml:space="preserve">https://pncp.gov.br/app/contratos/contratos/24857781000101/2024/1</t>
  </si>
  <si>
    <t xml:space="preserve">CAMARA MUNICIPAL DE ALOANDIA</t>
  </si>
  <si>
    <t xml:space="preserve">Locação de sistema de informática (software de gestão pública) com os módulos de Contabilidade, Rec. Humanos, Compras e Portal de Transparência para o exercício de 2025</t>
  </si>
  <si>
    <t xml:space="preserve">https://pncp.gov.br/app/contratos/contratos/00597111000127/2025/3</t>
  </si>
  <si>
    <t xml:space="preserve">Locação de sistema de informática (software de gestão pública) com os módulos de Contabilidade, Rec. Humanos, Compras e Portal de Transparência para o exercício de 2024</t>
  </si>
  <si>
    <t xml:space="preserve">https://pncp.gov.br/app/contratos/contratos/00597111000127/2024/1</t>
  </si>
  <si>
    <t xml:space="preserve">CONTRATO DE LOCAÇÃO DE SISTEMAS DE INFORMÁTICA, PARA SUPORTE E TREINAMENTO DOS SISTEMAS DE SOFTWARE DE GESTÃO PÚBLICA.</t>
  </si>
  <si>
    <t xml:space="preserve">https://pncp.gov.br/app/contratos/contratos/33331422000107/2024/22</t>
  </si>
  <si>
    <t xml:space="preserve">SOLICITAÇÃO DE ABERTURA DE PROCESSO PARA CONTRATAÇÃO DE EMPRESA ESPECIALIZADA EM SOFTWARES DE GESTÃO PÚBLICA.</t>
  </si>
  <si>
    <t xml:space="preserve">https://pncp.gov.br/app/contratos/contratos/02609627000170/2026/1</t>
  </si>
  <si>
    <t xml:space="preserve">fornecimento de sistema de gestão publica</t>
  </si>
  <si>
    <t xml:space="preserve">https://pncp.gov.br/app/contratos/contratos/02609627000170/2025/1</t>
  </si>
  <si>
    <t xml:space="preserve">CONTRATO P/PRESTACAO SERVICOS DE SUPORTE E TREINAMENTO COM LOCACAO DE SISTEMAS DE INFORMATICA SOFTWARE DE GESTAO PUBLICA MODULOS: CONTABILIDADE,RECURSOS HUMANOS,GESTAO DE COMPRAS E PORTAL TRANSPARENCIA P/MANUT.DA CAMARA MUNICIPAL,CFE.PROC.DISP 03/2025 E CONTRATO 04/2025.</t>
  </si>
  <si>
    <t xml:space="preserve">https://pncp.gov.br/app/contratos/contratos/01870847000190/2025/4</t>
  </si>
  <si>
    <t xml:space="preserve">CAMARA MUNICIPAL DE BONFINOPOLIS</t>
  </si>
  <si>
    <t xml:space="preserve">CONTRATO DE PRESTAÇÃO DE SERVIÇOS DE SISTEMA DE INFORMÁTICA, CONTABIL E FOLHA DE PAGAMENTO PARA AS NECESSIDADES DESTA CASA DE LEIS.</t>
  </si>
  <si>
    <t xml:space="preserve">https://pncp.gov.br/app/contratos/contratos/00641955000128/2025/7</t>
  </si>
  <si>
    <t xml:space="preserve">CAMARA MUNICIPAL DE BONOPOLIS</t>
  </si>
  <si>
    <t xml:space="preserve">CONTRATAÇÃO DE EMPRESA ESPECIALIZADA NA PRESTAÇÃO DE SERVIÇO DE LOCAÇÃO, TREINAMENTO, SUPORTE E IMPLANTAÇÃO DE SOFTWARE DE GESTÃO PUBLICA, PARA ATENDER AS NECESSIDADES DA CÂMARA MUNICIPAL DE BONÓPOLIS.</t>
  </si>
  <si>
    <t xml:space="preserve">https://pncp.gov.br/app/contratos/contratos/01654751000194/2024/1</t>
  </si>
  <si>
    <t xml:space="preserve">CAMARA MUNICIPAL DE BURITI DE GOIAS</t>
  </si>
  <si>
    <t xml:space="preserve">Contratação de empresa para fornecimento de Software de Sistema de Gestão Pública</t>
  </si>
  <si>
    <t xml:space="preserve">https://pncp.gov.br/app/contratos/contratos/04879703000192/2026/1</t>
  </si>
  <si>
    <t xml:space="preserve">Contratação  de empresa para fornecimento de Software de Sistema de Gestão Pública</t>
  </si>
  <si>
    <t xml:space="preserve">https://pncp.gov.br/app/contratos/contratos/04879703000192/2025/1</t>
  </si>
  <si>
    <t xml:space="preserve">Contratação de serviço de gestão administrativa de software, com implantação, locação de sistemas em plataforma web, manutenção e suporte.</t>
  </si>
  <si>
    <t xml:space="preserve">https://pncp.gov.br/app/contratos/contratos/24855488000105/2025/1</t>
  </si>
  <si>
    <t xml:space="preserve">CAMARA MUNICIPAL DE CALDAZINHA</t>
  </si>
  <si>
    <t xml:space="preserve">Caldazinha</t>
  </si>
  <si>
    <t xml:space="preserve">CONTRADO DE SUPORTE E DEINAMENTO DO SITEMA DE IMFORMATICA ( SOFTWRE DE GESTÃO PUPLICA ) LOCADOS NOS MODULOS ABAIXO: 
MODULO MEGASOFT CONTABILIDADE
MODULO MEGASOFT RECURSSO HUMANOS 
MODULO MEGASOFT COMPRAS 
MODULO MEGASOFT PORTAL DA TRANSPARENCIA</t>
  </si>
  <si>
    <t xml:space="preserve">https://pncp.gov.br/app/contratos/contratos/04306349000107/2025/88</t>
  </si>
  <si>
    <t xml:space="preserve">CAMARA MUNICIPAL DE CAMPO ALEGRE DE GOIAS</t>
  </si>
  <si>
    <t xml:space="preserve">Campo Alegre de Goiás</t>
  </si>
  <si>
    <t xml:space="preserve">CONTRATO DE PRESTAÇÃO DE SERVIÇOS E LOCAÇÃO DOS SISTEMAS DE SOFTWARE DE GESTÃO PÚBLICA</t>
  </si>
  <si>
    <t xml:space="preserve">https://pncp.gov.br/app/contratos/contratos/00833944000140/2025/12</t>
  </si>
  <si>
    <t xml:space="preserve">CAMARA MUNICIPAL DE CAMPOS BELOS</t>
  </si>
  <si>
    <t xml:space="preserve">Campos Belos</t>
  </si>
  <si>
    <t xml:space="preserve">PRESTAÇÃO DE SERVIÇOS DE SUPORTE E TREINAMENTO DOS SISTEMA DE INFORMATICA, SENDO ELES OS SEGUINTES MODULOS, CONTABILIDADE, RECURSOS HUMANOS, GESTAO DE COMPRAS E ORGANIZACIONAL, CONFORME CONTRATO ANEXO.</t>
  </si>
  <si>
    <t xml:space="preserve">https://pncp.gov.br/app/contratos/contratos/86877099000120/2025/1</t>
  </si>
  <si>
    <t xml:space="preserve">CAMARA MUNICIPAL DE CATALAO</t>
  </si>
  <si>
    <t xml:space="preserve">Catalão</t>
  </si>
  <si>
    <t xml:space="preserve">3 · 100 a 500 mil</t>
  </si>
  <si>
    <t xml:space="preserve">MANUTENÇÃO, SUPORTE E TREINAMENTO DE SOFTWARE DE GESTÃO PÚBLICA.</t>
  </si>
  <si>
    <t xml:space="preserve">https://pncp.gov.br/app/contratos/contratos/00833942000150/2023/30</t>
  </si>
  <si>
    <t xml:space="preserve">CAMARA MUNICIPAL DE COLINAS DO TOCANTINS</t>
  </si>
  <si>
    <t xml:space="preserve">Contratação de licença do uso de software de sistema de gestão contábil, financeira, orçamentaria, gestão de compras, licitações, patrimônio, recursos humanos, portal da transparência, banco de dados, e administrativa, com cessão de direito de uso para número ilimitado de usuários simultâneos, para atendimento das demandas da Câmara Municipal de Colinas do Tocantins /TO.</t>
  </si>
  <si>
    <t xml:space="preserve">https://pncp.gov.br/app/contratos/contratos/04595186000120/2026/3</t>
  </si>
  <si>
    <t xml:space="preserve">https://pncp.gov.br/app/contratos/contratos/04595186000120/2025/3</t>
  </si>
  <si>
    <t xml:space="preserve">CRISTALINA CAMARA MUNICIPAL</t>
  </si>
  <si>
    <t xml:space="preserve">Cristalina</t>
  </si>
  <si>
    <t xml:space="preserve">CONTRATAÇÃO DE EMPRESA QUALIFICADA PARA ALUGUEL/LICENCIAMENTO DE SISTEMAS WEB DE GESTÃO PÚBLICA – ONLINE – COM ACESSO A QUAISQUER DISPOSITIVOS ELETRÔNICO COM INTERNET, DE INFORMÁTICA AUTOMATIZADOS (SOFTWARES) QUE ATENDAM AS EXIGÊNCIAS LEGAIS NA ADMINISTRAÇÃO PÚBLICA MUNICIPAL QUE ENTRE SI CELEBRAM A CÂMARA MUNICIPAL DE CRISTALINA, ESTADO DE GOIÁS E A EMPRESA MEGASOFT INFORMÁTICA LTDA.</t>
  </si>
  <si>
    <t xml:space="preserve">https://pncp.gov.br/app/contratos/contratos/36862373000119/2024/10</t>
  </si>
  <si>
    <t xml:space="preserve">ESTRELA DO NORTE CAMARA MUNICIPAL</t>
  </si>
  <si>
    <t xml:space="preserve">LOCAÇAO DE SISTEMA DE INFORMATICA (SOFTWARE DE GESTAO PUBLICA)</t>
  </si>
  <si>
    <t xml:space="preserve">https://pncp.gov.br/app/contratos/contratos/25005448000129/2024/10</t>
  </si>
  <si>
    <t xml:space="preserve">CAMARA MUNICIPAL DE FLORES DE GOIAS</t>
  </si>
  <si>
    <t xml:space="preserve">CONTRATO DE EMPRESA ESPECIALIZADA PARA LOCAÇÃO DE SISTEMA DE INFORMÁTICA (SOFTWARE DE GESTÃO PÚBLICA).</t>
  </si>
  <si>
    <t xml:space="preserve">https://pncp.gov.br/app/contratos/contratos/01823831000126/2025/4</t>
  </si>
  <si>
    <t xml:space="preserve">CAMARA MUNICIPAL DE GAMELEIRA DE GOIAS</t>
  </si>
  <si>
    <t xml:space="preserve">Gameleira de Goiás</t>
  </si>
  <si>
    <t xml:space="preserve">SOLICITA A CONTRATAÇÃO DE EMPRESA ESPECIALIZADA EM PARA PRESTACAO DE SERVICOS NA LOCACAO DE SISTEMAS DE INFORMATICA (SOFTWARES DE GESTAO PUBLICA) DE JANEIRO A DEZEMBRO DE 2024, COMPOSTO DOS MODULOS NECESSARIOS PARA A TOTAL TRANSPARENCIA, DOS ATOS PUBLICOS.</t>
  </si>
  <si>
    <t xml:space="preserve">https://pncp.gov.br/app/contratos/contratos/04230584000142/2024/7</t>
  </si>
  <si>
    <t xml:space="preserve">CAMARA MUNICIPAL DE GUARAI</t>
  </si>
  <si>
    <t xml:space="preserve">Guaraí</t>
  </si>
  <si>
    <t xml:space="preserve">LOCACAO DE SISTEMA</t>
  </si>
  <si>
    <t xml:space="preserve">https://pncp.gov.br/app/contratos/contratos/01138817000193/2024/1</t>
  </si>
  <si>
    <t xml:space="preserve">ITAGUARU CAMARA MUNICIPAL</t>
  </si>
  <si>
    <t xml:space="preserve">Itaguaru</t>
  </si>
  <si>
    <t xml:space="preserve">solicito contratação da empresa mega</t>
  </si>
  <si>
    <t xml:space="preserve">https://pncp.gov.br/app/contratos/contratos/01210707000195/2025/9</t>
  </si>
  <si>
    <t xml:space="preserve">CAMARA MUNICIPAL DE VEREADORES DE ITAPACI</t>
  </si>
  <si>
    <t xml:space="preserve">Itapaci</t>
  </si>
  <si>
    <t xml:space="preserve">Contratação de serviços de pessoa jurídica especializada na prestação dos serviços de locação de software.</t>
  </si>
  <si>
    <t xml:space="preserve">https://pncp.gov.br/app/contratos/contratos/02353368000169/2024/5</t>
  </si>
  <si>
    <t xml:space="preserve">CONTRATO DE PREST. DE SERV. C/ LOCAÇÃO DE SISTEMAS DE INFORMÁTICA (SOFTWARES DE GESTÃO PÚBLICA - R.H., COMPRAS E PORTAL DA TRANSPARÊNCIA) E SUPORTE TÉCN. P/ MANUT. DAS ATIVIDADES ADMINISTRATIVAS DA CÂMARA, DE 08/01/24 À 31/12/2024</t>
  </si>
  <si>
    <t xml:space="preserve">https://pncp.gov.br/app/contratos/contratos/00799207000178/2024/1</t>
  </si>
  <si>
    <t xml:space="preserve">CAMARA MUNICIPAL DE JARAGUA</t>
  </si>
  <si>
    <t xml:space="preserve">Jaraguá</t>
  </si>
  <si>
    <t xml:space="preserve">LOCAÇÃO DA LICENÇA DE USO POR TEMPO DETERMINADO E SERVIÇOS DE INSTALAÇÃO, IMPLANTAÇÃO, MIGRAÇÃO DE DADOS, CUSTOMIZAÇÃO, TREINAMENTO DE USUÁRIOS, MANUTENÇÃO E SUPORTE TÉCNICO DE SOFTWARES DE GESTÃO PÚBLICA.</t>
  </si>
  <si>
    <t xml:space="preserve">https://pncp.gov.br/app/contratos/contratos/03782109000116/2026/3</t>
  </si>
  <si>
    <t xml:space="preserve">CAMARA MUNICIPAL DE JESUPOLIS</t>
  </si>
  <si>
    <t xml:space="preserve">CONTRATAÇÃO DE SERVIÇOS DE LOCAÇÃO DE SOFTWARE DE GESTÃO PARA A CÂMARA MUNICIPAL DE JESÚPOLIS.</t>
  </si>
  <si>
    <t xml:space="preserve">https://pncp.gov.br/app/contratos/contratos/04530661000180/2024/4</t>
  </si>
  <si>
    <t xml:space="preserve">Inexigibilidade</t>
  </si>
  <si>
    <t xml:space="preserve">O objeto do presente Contrato é Locação dos Sistemas de Informática (software de gestão pública) locados pela contratante nos módulos abaixo relacionados:
Modulo Megasoft Contabilidade
Módulo Megasoft Recursos Humanos
Módulo Megasoft Compras
Módulo Megasoft Portal da Transparência</t>
  </si>
  <si>
    <t xml:space="preserve">https://pncp.gov.br/app/contratos/contratos/01650166000116/2026/20</t>
  </si>
  <si>
    <t xml:space="preserve">Locação dos Sistemas de Informática (software de gestão pública) locados pela contratante nos módulos abaixo relacionados.</t>
  </si>
  <si>
    <t xml:space="preserve">https://pncp.gov.br/app/contratos/contratos/01650166000116/2025/6</t>
  </si>
  <si>
    <t xml:space="preserve">https://pncp.gov.br/app/contratos/contratos/00817133000155/2025/1</t>
  </si>
  <si>
    <t xml:space="preserve">CAMARA MUNICIPAL DE MUTUNOPOLIS</t>
  </si>
  <si>
    <t xml:space="preserve">CONTRATAÇÃO DE EMPRESA ESPECIALIZADA NA PRESTAÇÃO DE SERVIÇO DE LOCAÇÃO, TREINAMENTO, SUPORTE E IMPLANTAÇÃO DE SOFTWARE DE GESTÃO PUBLICA, PARA ATENDER AS NECESSIDADES DA CÂMARA MUNICIPAL DE MUTUNOPOLIS</t>
  </si>
  <si>
    <t xml:space="preserve">https://pncp.gov.br/app/contratos/contratos/02343000000110/2024/3</t>
  </si>
  <si>
    <t xml:space="preserve">NEROPOLIS CAMARA MUNICIPAL</t>
  </si>
  <si>
    <t xml:space="preserve">CONTRATO REFERENTE A LOCAÇÃO DE SISTEMA DOS MÓDULOS, CONTABILIDADE, TESOURARIA, COMPRAS, FOLHA DE PAGAMENTO E PORTAL DA TRANSPARÊNCIA, NO PERIODO DE JANEIRO A DEZEMBRO DE 2024.</t>
  </si>
  <si>
    <t xml:space="preserve">https://pncp.gov.br/app/contratos/contratos/03725587000194/2024/9</t>
  </si>
  <si>
    <t xml:space="preserve">CAMARA MUNICIPAL DE NOVA AURORA</t>
  </si>
  <si>
    <t xml:space="preserve">Nova Aurora</t>
  </si>
  <si>
    <t xml:space="preserve">CONTRATAÇÃO QUE ENTRE SI CELEBRAM A CÂMARA MUNICIPAL DE NOVA AURORA, GOIÁS, E O FORNECEDOR MEGASOF INFORMÁTICA LTDA., DE PRESTAÇÃO DE SERVIÇOS PARA LOCAÇÃO, SUPORTE E TREINAMENTO DE SISTEMAS DE SOFTWARE DE GESTÃO PÚBLICA NOS TERMOS DO INCISO II, DO ART. 75, DA LEI 14.133/2021.</t>
  </si>
  <si>
    <t xml:space="preserve">https://pncp.gov.br/app/contratos/contratos/03102736000169/2025/5</t>
  </si>
  <si>
    <t xml:space="preserve">CAMARA MUNICIPAL DE NOVA ROMA</t>
  </si>
  <si>
    <t xml:space="preserve">Contratação de empresa especializada para locação de sistema de informática (software de gestão pública) para a Câmara Municipal de Nova Roma-GO.</t>
  </si>
  <si>
    <t xml:space="preserve">https://pncp.gov.br/app/contratos/contratos/24855348000129/2025/4</t>
  </si>
  <si>
    <t xml:space="preserve">CAMARA MUNICIPAL DE NOVO BRASIL</t>
  </si>
  <si>
    <t xml:space="preserve">CONTRATO DE LOCAÇÃO DE  SISTEMAS DE INFORMÁTICA (SOFTWARE DE GESTÃO PÚBLICA) PARA O PODER LEGISLATIVO ATÉ 31 DE DEZEMBRO DE 2025.</t>
  </si>
  <si>
    <t xml:space="preserve">https://pncp.gov.br/app/contratos/contratos/06373414000142/2025/6</t>
  </si>
  <si>
    <t xml:space="preserve">CAMARA MUNICIPAL DE PALMEIRAS DE GOIAS</t>
  </si>
  <si>
    <t xml:space="preserve">Palmeiras de Goiás</t>
  </si>
  <si>
    <t xml:space="preserve">CONTRATO DE FORNECIMENTO DE SISTEMA DE GESTÃO, QUE FAZEM ENTRE SI A CAMARA MUNCIPAL DE PALMEIRAS DE GOIAS E MEGASOFT INFORMATICA LITDA.</t>
  </si>
  <si>
    <t xml:space="preserve">https://pncp.gov.br/app/contratos/contratos/25107897000188/2024/6</t>
  </si>
  <si>
    <t xml:space="preserve">PEIXE CAMARA MUNICIPAL</t>
  </si>
  <si>
    <t xml:space="preserve">CONTRATAÇÃO DE SERVIÇOS DE LOCAÇÃO DE SISTEMA DE INFORMÁTICA (SOFTWARE) DE GESTÃO PÚBLICA, MÓDULOS CONTABILIDADE, RECURSOS HUMANOS, GESTÃO DE COMPRAS, PORTAL DE TRANSPARÊNCIA, E BANCOS DE DADOS DA CÂMARA MUNICIPAL DE PEIXE TO, DURANTE O EXERCÍCIO DE 2026.</t>
  </si>
  <si>
    <t xml:space="preserve">https://pncp.gov.br/app/contratos/contratos/01447812000142/2026/4</t>
  </si>
  <si>
    <t xml:space="preserve">CAMARA MUNICIPAL PETROLINA DE GOIAS</t>
  </si>
  <si>
    <t xml:space="preserve">CONTRATAÇÃO DE EMPRESA PARA PRESTAÇÃO DE SERVIÇOS DE FORNECIMENTO DE SOFTWARE DE GESTÃO PÚBLICA, MÓDOLUS DE CONTABILIDADE, COMPRAS, LICITAÇÕES E FOLHA DE PAGAMENTO, PARA ATENDER AS NECESSIDADES DESTA CASA DE LEIS NO ANO DE 2025.</t>
  </si>
  <si>
    <t xml:space="preserve">https://pncp.gov.br/app/contratos/contratos/00793129000102/2025/11</t>
  </si>
  <si>
    <t xml:space="preserve">CONTRATO DE PRESTAÇÃO DE SERVIÇOS DE EMPRESA ESPECIALIZADA EM FORNECIMENTO DE SOFTWARE DE GESTÃO PUBLICA, MODOLUS DE CONTABILIDADE, COMPRAS, LICITAÇÕES E FOLHA DE PAGAMENTO. PARA ESSA CASA DE LEIS DURANTE O ANO DE 2024</t>
  </si>
  <si>
    <t xml:space="preserve">https://pncp.gov.br/app/contratos/contratos/00793129000102/2024/7</t>
  </si>
  <si>
    <t xml:space="preserve">CONTRATAÇÃO DE EMPRESA ESPECIALIZADA SERVIÇOS DE GESTÃO DE SISTEMA DE CONTABILIDADE, RECURSOS HUMANOS, FROTA E PRESTAÇÃO DE CONTAS UNIFICADAS E TRANSPORTES DE DADOS.</t>
  </si>
  <si>
    <t xml:space="preserve">https://pncp.gov.br/app/contratos/contratos/04258814000181/2023/61</t>
  </si>
  <si>
    <t xml:space="preserve">CAMARA MUNICIPAL DE PONTALINA</t>
  </si>
  <si>
    <t xml:space="preserve">O objeto do presente Contrato é Locação dos Sistemas de Informática (software de gestão pública) locados pela contratante nos módulos abaixo relacionados: 
.	Modulo Megasoft Contabilidade
.	Módulo Megasoft Recursos Humanos
.	Módulo Megasoft Compras
.	Módulo Megasoft Portal da Transparência</t>
  </si>
  <si>
    <t xml:space="preserve">https://pncp.gov.br/app/contratos/contratos/00269444000127/2023/75</t>
  </si>
  <si>
    <t xml:space="preserve">CAMARA MUNICIPAL DE PROFESSOR JAMIL</t>
  </si>
  <si>
    <t xml:space="preserve">Professor Jamil</t>
  </si>
  <si>
    <t xml:space="preserve">CONTRATO DE PRESTAÇÃO DE SERVIÇOS LOCAÇÃO DE SISTEMAS DE SOFTWARE DE GESTÃO PUBLICA MODULOS CONTABILIDADE RECURSOS HUMANOS GESTÃO DE COMPRAS E DE JANEIRO Á DEZEMBRO DE 2025, PARA ESTA CÂMARA MUNICIPAL, CONFORME CONTRATO EM ANEXO.</t>
  </si>
  <si>
    <t xml:space="preserve">https://pncp.gov.br/app/contratos/contratos/00058395000183/2025/5</t>
  </si>
  <si>
    <t xml:space="preserve">RUBIATABA DE GOIAS CAMARA MUNICIPAL</t>
  </si>
  <si>
    <t xml:space="preserve">CONTRATAÇÃO DE EMPRESA PARA FORNECIMENTO DE SISTEMAS DE INFORMÁTICA</t>
  </si>
  <si>
    <t xml:space="preserve">https://pncp.gov.br/app/contratos/contratos/00799239000173/2025/4</t>
  </si>
  <si>
    <t xml:space="preserve">CONTRATO DE LOCAÇÃO DE SISTEMA DE INFORMATICA PARA MANUTENÇÃO DESTA CASA DE LEI</t>
  </si>
  <si>
    <t xml:space="preserve">https://pncp.gov.br/app/contratos/contratos/00799239000173/2024/1</t>
  </si>
  <si>
    <t xml:space="preserve">CAMARA MUNICIPAL DE SANTA CRUZ DE GOIAS</t>
  </si>
  <si>
    <t xml:space="preserve">Santa Cruz de Goiás</t>
  </si>
  <si>
    <t xml:space="preserve">Contratação de Pessoa Jurídica para prestação de serviços e disponibilização de sistema software de Gestão Pública à Câmara Municipal de Santa Cruz de Goiás no ano de 2025.</t>
  </si>
  <si>
    <t xml:space="preserve">https://pncp.gov.br/app/contratos/contratos/03447917000127/2025/1</t>
  </si>
  <si>
    <t xml:space="preserve">CAMARA MUNICIPAL DE SANTO ANTONIO DO DESCOBERTO</t>
  </si>
  <si>
    <t xml:space="preserve">Santo Antônio do Descoberto</t>
  </si>
  <si>
    <t xml:space="preserve">CONTRATAÇÃO DE EMPRESA ESPECIALIZADA PARA PRESTAÇÃO DE SERVIÇOS DE LOCAÇÃO, SUPORTE E TREINAMENTO DOS SISTEMAS DE INFORMÁTICA (SOFTWARES E GESTÃO PÚBLICA).</t>
  </si>
  <si>
    <t xml:space="preserve">https://pncp.gov.br/app/contratos/contratos/86905239000126/2023/37</t>
  </si>
  <si>
    <t xml:space="preserve">CAMARA MUNICIPAL DE SERRANOPOLIS</t>
  </si>
  <si>
    <t xml:space="preserve">Serranópolis</t>
  </si>
  <si>
    <t xml:space="preserve">LOCAÇÃO E MANUTENÇÃO DOS SISTEMAS DE INFORMAÇÃO, COM MÓDULOS DE CONTABILIDADE, GESTÃO DE COMPRAS, RECURSOS HUMANOS, FROTAS, PROTOCOLO E BANCO DE DADOS DO PRODUTO MEGAADMWEB, COM PORTAL TRANSPARÊNCIA INCLUSO.</t>
  </si>
  <si>
    <t xml:space="preserve">https://pncp.gov.br/app/contratos/contratos/00775356000105/2026/2</t>
  </si>
  <si>
    <t xml:space="preserve">LOCAÇÃO E MANUTENÇÃO DE SISTEMA DE INFORMAÇÃO.</t>
  </si>
  <si>
    <t xml:space="preserve">https://pncp.gov.br/app/contratos/contratos/00775356000105/2025/2</t>
  </si>
  <si>
    <t xml:space="preserve">SILVANIA CAMARA MUNICIPAL</t>
  </si>
  <si>
    <t xml:space="preserve">Silvânia</t>
  </si>
  <si>
    <t xml:space="preserve">Contrato de locação de sistemas</t>
  </si>
  <si>
    <t xml:space="preserve">https://pncp.gov.br/app/contratos/contratos/03797149000131/2025/3</t>
  </si>
  <si>
    <t xml:space="preserve">LOCAÇÃO DE SISTEMAS DE INFORMÁTICA.</t>
  </si>
  <si>
    <t xml:space="preserve">https://pncp.gov.br/app/contratos/contratos/03797149000131/2024/1</t>
  </si>
  <si>
    <t xml:space="preserve">DESPESA PROVENIENTE DO VALOR GLOBAL DO CONTRATO 001/2025 REFERENTE A LOCAÇÃO DO SISTEMA DE GESTÃO MEGASOFT DURANTE O PERIODO DE 02/01/2025 A 31/12/2025, CONFORME CONTRATO 001/2025, ANEXO.</t>
  </si>
  <si>
    <t xml:space="preserve">https://pncp.gov.br/app/contratos/contratos/05116995000174/2025/1</t>
  </si>
  <si>
    <t xml:space="preserve">Contrato celebrado entre as partes pertinente a locação de sistema de gestão, com suporte tecnico (MegaSoft) durante o periodo de 02/01/2024 a 31/12/2024</t>
  </si>
  <si>
    <t xml:space="preserve">https://pncp.gov.br/app/contratos/contratos/05116995000174/2024/1</t>
  </si>
  <si>
    <t xml:space="preserve">CAMARA MUNICIPAL DE SAO LUIZ DO NORTE</t>
  </si>
  <si>
    <t xml:space="preserve">São Luiz do Norte</t>
  </si>
  <si>
    <t xml:space="preserve">CONTRATAÇÃO DE EMPRESA ESPECIALIZADA NA PRESTAÇÃO DE SERVIÇO DE LOCAÇÃO, TREINAMENTO, SUPORTE E IMPLANTAÇÃO DE SOFTWARE DE GESTÃO PUBLICA, PARA ATENDER AS NECESSIDADES DA CÂMARA MUNICIPAL DE SÃO LUIZ DO NORTE</t>
  </si>
  <si>
    <t xml:space="preserve">https://pncp.gov.br/app/contratos/contratos/25043928000184/2024/1</t>
  </si>
  <si>
    <t xml:space="preserve">CAMARA MUNICIPAL DE SAO MIGUEL DO PASSA QUATRO</t>
  </si>
  <si>
    <t xml:space="preserve">São Miguel do Passa Quatro</t>
  </si>
  <si>
    <t xml:space="preserve">PRESTAÇÃO DE SERVIÇOS DE FORNECIMENTO DE LOCAÇÃO DE SISTEMA SOFTWARE DE GESTÃO MUNICIPAL PARA ATENDER AS NECESSIDADES DA CAMARA DE SAO MIGUEL DO PASSA QUATRO CONFORME CONTRATO 06/2024</t>
  </si>
  <si>
    <t xml:space="preserve">https://pncp.gov.br/app/contratos/contratos/37623543000175/2024/3</t>
  </si>
  <si>
    <t xml:space="preserve">Contratação de empresa especializada na área de informática para concessão de licença de uso por prazo determinado de sistemas integrados de gestão pública e serviços de informática, efetuado por ferramenta informatizada, utilizada em ambiente “web”, incluindo implantação, conversão, treinamento e suporte para os módulos a seguir: modulo administrativo; modulo contabilidade; módulo recursos humanos; módulo compras/licitação; módulo financeiro; módulo portal da transparência, conforme as necessidades da Câmara Municipal de São Patrício – GO.</t>
  </si>
  <si>
    <t xml:space="preserve">https://pncp.gov.br/app/contratos/contratos/01618167000183/2026/5</t>
  </si>
  <si>
    <t xml:space="preserve">PRESTAÇÃO DE SERVIÇOS DE LOCAÇÃO DE SOFTWARES WEB COM ACESSO A QUAISQUER DISPOSITIVOS ELETRÔNICOS COM INTERNET (CELULAR, TABLET, ETC.) EM QUAISQUER LUGARES DO PAÍS, QUE ATENDAM ÀS LEGISLAÇÕES ESPECIFICAS, BEM COMO AS CONVERSÕES DOS DADOS EXISTENTES NO MUNICÍPIO, O TREINAMENTO DE TODOS OS FUNCIONÁRIOS NA UTILIZAÇÃO DOS SISTEMAS LOCADOS E O SUPORTE E MANUTENÇÃO DESTES SISTEMAS.</t>
  </si>
  <si>
    <t xml:space="preserve">https://pncp.gov.br/app/contratos/contratos/01977854000195/2023/4</t>
  </si>
  <si>
    <t xml:space="preserve">CAMARA MUNICIPAL DE TURVANIA</t>
  </si>
  <si>
    <t xml:space="preserve">Turvânia</t>
  </si>
  <si>
    <t xml:space="preserve">LOCAÇÃO DE SOFTWARE DE GESTÃO PÚBLICA</t>
  </si>
  <si>
    <t xml:space="preserve">https://pncp.gov.br/app/contratos/contratos/02386843000101/2023/20</t>
  </si>
  <si>
    <t xml:space="preserve">CONTRATO DE LOCACAO DE SISTEMA DE INFORMATICA SENDO OS SEQUINTES MODULOS; FOLHA DE PAGTO, CONTABILIDADE PUBLICA, COMPRS, PROTOCOLO, FROTA, PATRIMONIO E SERVICOS DE IMPLANTACAO, ATUALIZACAO E TREINAMENTO PARA O ANO DE 2026.</t>
  </si>
  <si>
    <t xml:space="preserve">https://pncp.gov.br/app/contratos/contratos/33331596000161/2026/4</t>
  </si>
  <si>
    <t xml:space="preserve">https://pncp.gov.br/app/contratos/contratos/33331596000161/2025/3</t>
  </si>
  <si>
    <t xml:space="preserve">CAMARA MUNICIPAL DE VIANOPOLIS</t>
  </si>
  <si>
    <t xml:space="preserve">Vianópolis</t>
  </si>
  <si>
    <t xml:space="preserve">Locação dos Sistemas de Informática (software de gestão pública) locados pela contratante</t>
  </si>
  <si>
    <t xml:space="preserve">https://pncp.gov.br/app/contratos/contratos/00710008000141/2025/4</t>
  </si>
  <si>
    <t xml:space="preserve">CAMARA MUNICIPAL DE VICENTINOPOLIS - GOIAS</t>
  </si>
  <si>
    <t xml:space="preserve">CONTRATAÇÃO COM LOCAÇÃO DE SISTEMAS DE INFORMÁTICA, GESTÃO PÚBLICA, MODULOS: GESTÃO DE COMPRAS, RECURSOS HUMANOS E PORTAL DA TRANSPARÊNCIA, NO PERÍODO DE JANEIRO A DEZEMBRO/2025.</t>
  </si>
  <si>
    <t xml:space="preserve">https://pncp.gov.br/app/contratos/contratos/05551032000107/2025/2</t>
  </si>
  <si>
    <t xml:space="preserve">CAMARA MUNICIPAL DE AGUA LIMPA</t>
  </si>
  <si>
    <t xml:space="preserve">Água Limpa</t>
  </si>
  <si>
    <t xml:space="preserve">CONTRATO DE LOCAÇÃO DE SOFTWARE DE INFORMATICA DE GESTÃO PUBLICA, NO PERIODO DE JANEIRO A DEZEMBRO DE 2025.</t>
  </si>
  <si>
    <t xml:space="preserve">https://pncp.gov.br/app/contratos/contratos/04237781000193/2025/8</t>
  </si>
  <si>
    <t xml:space="preserve">CONTRATO DE LOCAÇÃO DE SOFTWARE DE INFORMATICA DE GESTÃO PUBLICA, NO PERIODO DE JANEIRO A DEZEMBRO DE 2024.</t>
  </si>
  <si>
    <t xml:space="preserve">https://pncp.gov.br/app/contratos/contratos/04237781000193/2024/4</t>
  </si>
  <si>
    <t xml:space="preserve">CONSORCIO INTERMUNICIPAL DE GESTAO INTEGRADA DE RESIDUOS SOLIDOS, MUNICIPIOS FIRMINOPOLIS, SAO LUIS DE M. BELOS, TURVANIA E CACHOEIRA DE GOIAS</t>
  </si>
  <si>
    <t xml:space="preserve">Consórcio</t>
  </si>
  <si>
    <t xml:space="preserve">São Luís de Montes Belos</t>
  </si>
  <si>
    <t xml:space="preserve">Contratação de empresa especializada em manutenção, suporte e treinamento para sistema de gestão pública, visando atender as necessidades do Consorcio Intermunicipal de Gestão Integrada de Resíduos Sólidos dos Municípios de Firminópolis, São Luis de Montes Belos, Turvânia e Cachoeira de Goiás</t>
  </si>
  <si>
    <t xml:space="preserve">https://pncp.gov.br/app/contratos/contratos/20808466000125/2025/13</t>
  </si>
  <si>
    <t xml:space="preserve">INSTITUTO DE PREVIDENCIA DOS SERVIDORES PUBLICOS DO MUNICIPIO DE ALEXANIA</t>
  </si>
  <si>
    <t xml:space="preserve">Autarquia/Fundação</t>
  </si>
  <si>
    <t xml:space="preserve">CONTRATAÇÃO DE EMPRESA ESPECIALIZADA NA PRESTAÇÃO DE SERVIÇO DE LOCAÇÃO, TREINAMENTO, SUPORTE E IMPLANTAÇÃO DE SOFTWARE DE GESTÃO PUBLICA, PARA ATENDER AS NECESSIDADES DO FUNDO MUNICIPAL DE PREVIDÊNCIA SOCIAL DE ALEXÂNIA - GOIÁS</t>
  </si>
  <si>
    <t xml:space="preserve">https://pncp.gov.br/app/contratos/contratos/04902949000138/2025/7</t>
  </si>
  <si>
    <t xml:space="preserve">INST DA PREVIDENCIA E ASSIST SERVIDORES TRES RANCHOS</t>
  </si>
  <si>
    <t xml:space="preserve">Três Ranchos</t>
  </si>
  <si>
    <t xml:space="preserve">CONTRATAÇÃO DE SERVIÇOS DE SISTEMA DE INFORMÁTICA SOFTWARE DE GESTÃO PÚBLICA</t>
  </si>
  <si>
    <t xml:space="preserve">https://pncp.gov.br/app/contratos/contratos/24812000000154/2025/2</t>
  </si>
  <si>
    <t xml:space="preserve">MUNICIPIO DE ANGRA DOS REIS</t>
  </si>
  <si>
    <t xml:space="preserve">Angra dos Reis</t>
  </si>
  <si>
    <t xml:space="preserve">RJ</t>
  </si>
  <si>
    <t xml:space="preserve">Prodata Informática Ltda (02.744.987/0001-84)</t>
  </si>
  <si>
    <t xml:space="preserve">Contratação de empresa especializada para fornecimento, implantação e manutenção de um sistema de informação em nuvem, utilizando a tecnologia de cloud computing, para Gestão Pública Municipal, incluindo: Infraestrutura, Domínio e Gerenciamento do ambiente de cloud computing necessário para o sistema; Licenciamento sem limite de usuários; Importação e migração de bases de dados de sistemas legados; Implantação, Customização e parametrização do sistema de acordo com as necessidades específicas do município; Manutenções legais, corretivas e evolutivas; Suporte técnico adequado e tempestivo; Treinamento dos usuários e gestores municipais,</t>
  </si>
  <si>
    <t xml:space="preserve">https://pncp.gov.br/app/contratos/contratos/29172467000109/2024/28</t>
  </si>
  <si>
    <t xml:space="preserve">MUNICIPIO DE APARECIDA DE GOIANIA</t>
  </si>
  <si>
    <t xml:space="preserve">Aparecida de Goiânia</t>
  </si>
  <si>
    <t xml:space="preserve">4 · Acima de 500 mil</t>
  </si>
  <si>
    <t xml:space="preserve">PRESTAÇÃO DE SERVIÇOS EM CUSTOMIZAÇÃO, MANUTENÇÃO CORRETIVA, ADAPTATIVA, EVOLUTIVA, SUPORTE IN-LOCO TECNICO ESPECIALIZADO E FORNECIMENTO DE LICENÇA PERMANENTE DE USO DO SIGP</t>
  </si>
  <si>
    <t xml:space="preserve">https://pncp.gov.br/app/contratos/contratos/01005727000124/2024/50</t>
  </si>
  <si>
    <t xml:space="preserve">MUNICIPIO DE BOM JESUS</t>
  </si>
  <si>
    <t xml:space="preserve">Bom Jesus de Goiás</t>
  </si>
  <si>
    <t xml:space="preserve">CONTRATACAO DE EMPRESA  PARA FORNECIMENTO, EM REGIME DE LOCACAO (SAS), DE SOFTWARE DE GESTAO PUBLICA MUNICIPAL, COM SERVICOS DE IMPLANTACAO, MIGRACAO DE DADOS, TREINAMENTO E SUPOR-TE TECNICO CONTINUO.</t>
  </si>
  <si>
    <t xml:space="preserve">https://pncp.gov.br/app/contratos/contratos/01149624000138/2025/36</t>
  </si>
  <si>
    <t xml:space="preserve">CONTRATACAO DE MEPRESA VISANDO A IMPLANTACAO E LOCACAO DE SOFTWARE DE GESTAO PARA ATENDER AS NECESSIDADES DO MUNICIPIO DE BOM JESUS-GO, EM SEUS DIVERSOS SETORES EM CARATER EMERGENCIAL.</t>
  </si>
  <si>
    <t xml:space="preserve">https://pncp.gov.br/app/contratos/contratos/01149624000138/2025/35</t>
  </si>
  <si>
    <t xml:space="preserve">MUNICIPIO DE CERES</t>
  </si>
  <si>
    <t xml:space="preserve">Ceres</t>
  </si>
  <si>
    <t xml:space="preserve">CONTRATACAO DE EMPRESA ESPECIALIZADA PARA PRESTACAO DE SERVICOS DE IMPLANTACAO E MANUTENCAO CONTINUADA DE SISTEMA INTEGRADO DE GESTAO PUBLICA, COMPREENDENDO A LOCACAO MENSAL DE USO SEM LIMITE DE USUARIOS, DATACENTER, CONVERSAO DA BASE DE DADOS E MANUTENCAO ADAPTATIVA E CORRETIVA NO CARATER LEGAL NO MUNICIPIO DE CERES?GO, PARA ATENDER AS NECESSIDADES DA PREFEITURA MUNICIPAL DE CERES.</t>
  </si>
  <si>
    <t xml:space="preserve">https://pncp.gov.br/app/contratos/contratos/01131713000157/2026/14</t>
  </si>
  <si>
    <t xml:space="preserve">MUNICIPIO DE CIDADE OCIDENTAL</t>
  </si>
  <si>
    <t xml:space="preserve">Cidade Ocidental</t>
  </si>
  <si>
    <t xml:space="preserve">O OBJETO DO PRESENTE INSTRUMENTO E A CONTRATACAO DE EMPRESAS ESPECIALIZADAS PARA PRESTACAO DE SERVICOS PUBLICOS DIGITAIS, EM ATENDIMENTO A PREFEITURA MUNICIPAL DE CIDADE OCIDENTAL E SUAS SECRETARIAS, NAS CONDICOES ESTABELECIDAS NO TERMO DE REFERENCIA.</t>
  </si>
  <si>
    <t xml:space="preserve">https://pncp.gov.br/app/contratos/contratos/36862621000121/2025/179</t>
  </si>
  <si>
    <t xml:space="preserve">https://pncp.gov.br/app/contratos/contratos/36862621000121/2025/178</t>
  </si>
  <si>
    <t xml:space="preserve">https://pncp.gov.br/app/contratos/contratos/36862621000121/2025/175</t>
  </si>
  <si>
    <t xml:space="preserve">MUNICIPIO DE FORMOSA</t>
  </si>
  <si>
    <t xml:space="preserve">Formosa</t>
  </si>
  <si>
    <t xml:space="preserve">CONTRATAÇÃO DE EMPRESA ESPECIALIZADA VISANDO A IMPLANTAÇÃO E LOCAÇÃO DE SOFTWARE DE GESTÃO MUNICIPAL PARA ATENDER AS NECESSIDADES DO MUNICÍPIO DE FORMOSA – GO, EM SEUS DIVERSOS SETORES.</t>
  </si>
  <si>
    <t xml:space="preserve">https://pncp.gov.br/app/contratos/contratos/01738780000134/2026/20</t>
  </si>
  <si>
    <t xml:space="preserve">MUNICIPIO DE GOIATUBA</t>
  </si>
  <si>
    <t xml:space="preserve">Goiatuba</t>
  </si>
  <si>
    <t xml:space="preserve">CONTRATACAO DE EMPRESA ESPECIALIZADA PARA O FORNECIMENTO, LICENCIAMENTO DE USO, IMPLANTACAO, MIGRACAO DE DADOS, SUPORTE TECNICO (REMOTO E PRESENCIAL), MANUTENCAO CORRETIVA E EVOLUTIVA E CAPACITACAO DE USUARIOS DE SISTEMA INTEGRADO DE GESTAO PUBLICA MUNICIPAL, EM AMBIENTE 100% WEB, DESTINADO AO ATENDIMENTO DAS NECESSIDADES ADMINISTRATIVAS DA FESG/UNICERRADO, CONFORME ESPECIFICACOES E QUANTITATIVOS ESTABELECIDOS NO TERMO DE REFERENCIA, ANEXO DO EDITAL.</t>
  </si>
  <si>
    <t xml:space="preserve">https://pncp.gov.br/app/contratos/contratos/01753722000180/2026/61</t>
  </si>
  <si>
    <t xml:space="preserve">CONTRATACAO DE EMPRESA ESPECIALIZADA PARA O FORNECIMENTO, LICENCIAMENTO DE USO, IMPLANTACAO, MIGRACAO DE DADOS, SUPORTE TECNICO (REMOTO E PRESENCIAL), MANUTENCAO CORRETIVA E EVOLUTIVA E CAPACITACAO DE USUARIOS DE SISTEMA INTEGRADO DE GESTAO PUBLICA MUNICIPAL, EM AMBIENTE 100% WEB, DESTINADO A ADMINISTRACAO DIRETA E INDIRETA DA PREFEITURA MUNICIPAL DE GOIATUBA (SECRETARIA DE ADMINISTRACAO)</t>
  </si>
  <si>
    <t xml:space="preserve">https://pncp.gov.br/app/contratos/contratos/01753722000180/2026/59</t>
  </si>
  <si>
    <t xml:space="preserve">MUNICIPIO DE IPAMERI</t>
  </si>
  <si>
    <t xml:space="preserve">Ipameri</t>
  </si>
  <si>
    <t xml:space="preserve">CONTRATACAO DE EMPRESA ESPECIALIZADA EM LOCACAO DE SOFTWARES DE GESTAO PUBLICA INTEGRADOS.</t>
  </si>
  <si>
    <t xml:space="preserve">https://pncp.gov.br/app/contratos/contratos/01763606000141/2025/723</t>
  </si>
  <si>
    <t xml:space="preserve">MUNICIPIO DE TRINDADE</t>
  </si>
  <si>
    <t xml:space="preserve">Trindade</t>
  </si>
  <si>
    <t xml:space="preserve">CONTRATAÇÃO DE EMPRESA ESPECIALIZADA NA PRESTAÇÃO DE SERVIÇO NA LOCAÇÃO DE SOFTWARE DE SISTEMA GERENCIAL E OPERACIONAL PARA ATENDIMENTO EM UNIDADES DE SAÚDE DE TRINDADE – GO, QUE COMPREENDA: PAINEL ELETRÔNICO DE CHAMADA, GESTÃO AMBULATORIAL, SISTEMA TOTALMENTE WEB, PARA ATENDER AS NECESSIDADES DA SECRETARIA MUNICIPAL DE SAÚDE DO MUNICIPIO DE TRINDADE-GO</t>
  </si>
  <si>
    <t xml:space="preserve">https://pncp.gov.br/app/contratos/contratos/01217538000115/2024/113</t>
  </si>
  <si>
    <t xml:space="preserve">APARECIDA DE GOIANIA CAMARA MUNICIPAL</t>
  </si>
  <si>
    <t xml:space="preserve">PRESTACAO DE SERVICOS DE MANUTENCAO ADAPTATIVA E EVOLUTIVA, TREINAMENTO E IMPLANTACAO DE SISTEMA DE SOFTWARE.</t>
  </si>
  <si>
    <t xml:space="preserve">https://pncp.gov.br/app/contratos/contratos/01203223000119/2023/2</t>
  </si>
  <si>
    <t xml:space="preserve">BOM JESUS DE GOIAS PREFEITURA MUNIC CAMARA MUNICIPAL</t>
  </si>
  <si>
    <t xml:space="preserve">CONTRATACAO DE EMPRESA PARA ASSESSORIA EM LOCACAO E MANUTENCAO DE SISTEMAS INTEGRADOS DE SOFTWARES PARA GESTAO PUBLICA ESPECIFICAMENTE EM CONTABILIDADE, FINANCEIRO, COMPRAS, LICITACAO, FROTAS, ALMOXARIFADO E PORTAL DA TRANSPARENCIA, RECURSOS HUMANOS - FOLHA DE PAGAMENTO, COLARE, E-SOCIAL DOSSIE, PREVIDENCIA SOCIAL, ORCAMENTO E PATRIMONIO.</t>
  </si>
  <si>
    <t xml:space="preserve">https://pncp.gov.br/app/contratos/contratos/02668317000126/2025/11</t>
  </si>
  <si>
    <t xml:space="preserve">CAMARA MUNICIPAL DE CALDAS NOVAS</t>
  </si>
  <si>
    <t xml:space="preserve">Caldas Novas</t>
  </si>
  <si>
    <t xml:space="preserve">PRESTACAO DE SERVICO DE LOCACAO DE SISTEMA ESPECIALIZADO EM GESTAO PUBLICA</t>
  </si>
  <si>
    <t xml:space="preserve">https://pncp.gov.br/app/contratos/contratos/01073089000189/2022/1</t>
  </si>
  <si>
    <t xml:space="preserve">A FORNECIMENTO DE SISTEMA DE GESTÃO PÚBLICA.</t>
  </si>
  <si>
    <t xml:space="preserve">https://pncp.gov.br/app/contratos/contratos/00833942000150/2025/64</t>
  </si>
  <si>
    <t xml:space="preserve">CAMARA DE VEREADORES DE IPAMERI</t>
  </si>
  <si>
    <t xml:space="preserve">PRESTACAO DE SERVICOS DE LOCACAO, MANUTENCAO, E SUPORTE TECNICO DE SISTEMA DE GESTAO</t>
  </si>
  <si>
    <t xml:space="preserve">https://pncp.gov.br/app/contratos/contratos/36827103000177/2025/70</t>
  </si>
  <si>
    <t xml:space="preserve">MORRINHOS CAMARA MUNICIPAL</t>
  </si>
  <si>
    <t xml:space="preserve">Morrinhos</t>
  </si>
  <si>
    <t xml:space="preserve">CONTRATO DE ALUGUEL DE SOFTWARE</t>
  </si>
  <si>
    <t xml:space="preserve">https://pncp.gov.br/app/contratos/contratos/24853194000136/2023/1</t>
  </si>
  <si>
    <t xml:space="preserve">CAMARA MUNICIPAL DE PIRENOPOLIS</t>
  </si>
  <si>
    <t xml:space="preserve">Pirenópolis</t>
  </si>
  <si>
    <t xml:space="preserve">CONTRATACAO DE EMPRESA ESPECIALIZADA EM SOFTWARE DE GESTAO.</t>
  </si>
  <si>
    <t xml:space="preserve">https://pncp.gov.br/app/contratos/contratos/24856940000145/2024/2</t>
  </si>
  <si>
    <t xml:space="preserve">CAMARA MUNICIPAL DE VALPARAISO DE GOIAS</t>
  </si>
  <si>
    <t xml:space="preserve">Valparaíso de Goiás</t>
  </si>
  <si>
    <t xml:space="preserve">CONTRATACAO DE EMPRESA ESPECIALIZADA PARA FORNECIMENTO, IMPLANTACAO E MANUTENCAO DE SOFTWARE DE GESTAO PUBLICA</t>
  </si>
  <si>
    <t xml:space="preserve">https://pncp.gov.br/app/contratos/contratos/01616519000161/2024/7</t>
  </si>
  <si>
    <t xml:space="preserve">SERVICO AUTONOMO DE AGUA E ESGOTO</t>
  </si>
  <si>
    <t xml:space="preserve">Corumbá de Goiás</t>
  </si>
  <si>
    <t xml:space="preserve">Contratação de prestação de serviços em locação de software de arrecadação</t>
  </si>
  <si>
    <t xml:space="preserve">https://pncp.gov.br/app/contratos/contratos/02033679000140/2026/1</t>
  </si>
  <si>
    <t xml:space="preserve">INST DE PREV E ASS DOS SERV DO MUN DE LUZIANIA GO</t>
  </si>
  <si>
    <t xml:space="preserve">Luziânia</t>
  </si>
  <si>
    <t xml:space="preserve">CONTRATAÇÃO DE PESSOA JURÍDICA PARA FORNECIMENTO, IMPLANTAÇÃO E MANUTENÇÃO CONTINUADA DE SISTEMA INTEGRADO DE GESTÃO PÚBLICA.</t>
  </si>
  <si>
    <t xml:space="preserve">https://pncp.gov.br/app/contratos/contratos/36863108000155/2023/7</t>
  </si>
  <si>
    <t xml:space="preserve">MUNICIPIO DE HIDROLANDIA</t>
  </si>
  <si>
    <t xml:space="preserve">Hidrolândia</t>
  </si>
  <si>
    <t xml:space="preserve">SIGEP Sistema de Gestão Pública Ltda (04.294.699/0001-09)</t>
  </si>
  <si>
    <t xml:space="preserve">Contratação de empresa especializada no ramo de gerenciamento governamental de Software de módulos: Contabilidade, folha de pagamento, protocolo, arrecadação, nota fiscal eletrônica, patrimônio, compras, licitações e controle interno conforme TR, em atendimento à solicitação da Secretaria Municipal de Administração, Planejamento e Habitação.</t>
  </si>
  <si>
    <t xml:space="preserve">https://pncp.gov.br/app/contratos/contratos/01105329000180/2025/129</t>
  </si>
  <si>
    <t xml:space="preserve">MUNICIPIO DE ITARUMA</t>
  </si>
  <si>
    <t xml:space="preserve">Itarumã</t>
  </si>
  <si>
    <t xml:space="preserve">CONTRATAÇÃO DE EMPRESA ESPECIALIZADA PARA LOCAÇÃO DE LICENÇA DE DIREITO DE USO DE SISTEMA WEB DE GESTÃO PÚBLICA, INCLUINDO LICENCIAMENTO, CAPACITAÇÃO, DATACENTER, SUPORTE TÉCNICO E MIGRAÇÃO, CONFIGURAÇÃO, IMPLANTAÇÃO E TREINAMENTO COM CAPACITAÇÃO, VISANDO ATENDER AS NECESSIDADES DO MUNICÍPIO DE ITARUMÃ – GO, CONFORME ESPECIFICAÇÕES DO TERMO DE REFERÊNCIA – ANEXO I E EXIGÊNCIAS DO EDITAL.</t>
  </si>
  <si>
    <t xml:space="preserve">https://pncp.gov.br/app/contratos/contratos/01067271000127/2025/142</t>
  </si>
  <si>
    <t xml:space="preserve">ESTADO DE GOIAS</t>
  </si>
  <si>
    <t xml:space="preserve">Palminópolis</t>
  </si>
  <si>
    <t xml:space="preserve">Contratação de serviço de Licenciamento de Softwares de Gestão de Pessoal e Folha de Pagamento, Licitação e Compras, Protocolo, Controle de Frotas, Controle Patrimonial e Controle Interno, bem como Manutenção e Hospedagem do Site (Página da internet) para a Câmara Municipal de Palminópolis-GO.</t>
  </si>
  <si>
    <t xml:space="preserve">https://pncp.gov.br/app/contratos/contratos/01409580000138/2023/20</t>
  </si>
  <si>
    <t xml:space="preserve">MUNICIPIO DE PIRENOPOLIS</t>
  </si>
  <si>
    <t xml:space="preserve">CONTRATACAO DE EMPRESA ESPECIALIZADA EM  DESENVOLVIMENTO DE SISTEMAS INTEGRADOS DE GESTAO PUBLICA PARA FORNECIMENTO DE LICENCA DE USO DE SOFTWARE POR PRAZO DETERMINADO</t>
  </si>
  <si>
    <t xml:space="preserve">https://pncp.gov.br/app/contratos/contratos/01067941000105/2025/81</t>
  </si>
  <si>
    <t xml:space="preserve">https://pncp.gov.br/app/contratos/contratos/01067941000105/2025/80</t>
  </si>
  <si>
    <t xml:space="preserve">CONTRATACAO DE EMPRESA ESPECIALIZADA EM DESENVOLVIMENTO DE SISTEMAS INTEGRADOS DE GESTAO PUBLICA PARA FORNECIMENTO DE LICENCA DE USO DE SOFTWARE POR PRAZO DETERMINADO</t>
  </si>
  <si>
    <t xml:space="preserve">https://pncp.gov.br/app/contratos/contratos/01067941000105/2025/79</t>
  </si>
  <si>
    <t xml:space="preserve">MUNICIPIO DE SANTA BARBARA DE GOIAS</t>
  </si>
  <si>
    <t xml:space="preserve">Santa Bárbara de Goiás</t>
  </si>
  <si>
    <t xml:space="preserve">SERVIÇOS PRESTADOS DE SISTEMA, DESTINADO À MANUTENÇÃO DAS ATIVIDADES DA SECRETARIA DE ADMINISTRAÇÃO</t>
  </si>
  <si>
    <t xml:space="preserve">https://pncp.gov.br/app/contratos/contratos/02264166000140/2026/19</t>
  </si>
  <si>
    <t xml:space="preserve">CONTRATAÇÃO DE EMPRESA PARA PRESTAÇÃO DE SERVIÇOS DE ASSESSORIA EM LOCAÇÃO E MANUTENÇÃO DE SISTEMAS INTEGRADOS DE SOFTWARES PARA GESTÃO  PÚBLICA ESPECIFICAMENTE EM CONTABILIDADE, FINANCEIRO, COMPRAS, LICITAÇÃO, FROTAS, ALMOXARIFADO E PORTAL DA TRANSPARÊNCIA, DURANTE O EXERCÍCIO FINANCEIRO DE 2024.</t>
  </si>
  <si>
    <t xml:space="preserve">https://pncp.gov.br/app/contratos/contratos/02668317000126/2024/2</t>
  </si>
  <si>
    <t xml:space="preserve">CAMARA MUNICIPAL DE HIDROLANDIA</t>
  </si>
  <si>
    <t xml:space="preserve">Contratação de empresa especializada para serviços de Locação e manutenção de Software de Gestão pública 100% Web, indispensável ao funcionamento da Câmara Municipal de Hidrolândia, dos seguintes módulos de gestão: Contabilidade Pública, Financeiro, Folha de Pagamento, Protocolo, Frotas, Compras, Licitação, Controle Interno, Ouvidoria, Patrimônio, Almoxarifado e Portal da Transparência.</t>
  </si>
  <si>
    <t xml:space="preserve">https://pncp.gov.br/app/contratos/contratos/37623436000147/2025/17</t>
  </si>
  <si>
    <t xml:space="preserve">SOFTWARE DE GESTÃO ADMINISTRATIVO DOS SEGUINTES MÓDULOS: CONTABILIDADE PÚBLICA, FINANCEIRO (EXCETO FOLHA DE PAGAMENTO), PROTOCOLO, FROTAS, COMPRAS, LICITAÇÃO, CONTROLE INTERNO, OUVIDORIA, PATRIMÔNIO, ALMOXARIFADO E PORTAL DA TRANSPARÊNCIA. | COMPRAS AGRUPADAS DOS PEDIDOS: 550</t>
  </si>
  <si>
    <t xml:space="preserve">https://pncp.gov.br/app/contratos/contratos/37623436000147/2023/2</t>
  </si>
  <si>
    <t xml:space="preserve">CAMARA MUNICIPAL DE JATAI</t>
  </si>
  <si>
    <t xml:space="preserve">Jataí</t>
  </si>
  <si>
    <t xml:space="preserve">J.A de Lima &amp; Cia Limitada - BSIT (00.396.104/0001-67)</t>
  </si>
  <si>
    <t xml:space="preserve">Fornecimento de Sistema Informatizado em formato SaaS para Gerenciamento Eletrônico de Documentos Multiuso, contemplando os Módulos: Memorando, Ofício Eletrônico, Circular, Protocolo Eletrônico, Pedido de e-SIC, Processo Administrativo, Ouvidoria Digital, Gestão Avançada de processos (workflow), Assinatura digital em lote e Aplicativo Móvel para Atendimento, para no mínimo 50 (cinquenta) usuários, acompanhada da prestação de serviços de implantação, capacitação, suporte técnico e manutenção corretiva, adaptativa e evolutiva, com compatibilidade com o sistema de gestão utilizado atualmente(sigep).</t>
  </si>
  <si>
    <t xml:space="preserve">https://pncp.gov.br/app/contratos/contratos/24858805000139/2025/65</t>
  </si>
  <si>
    <t xml:space="preserve">CAMARA MUNICIPAL DE PALMINOPOLIS</t>
  </si>
  <si>
    <t xml:space="preserve">Contratação de serviços de Licenciamento de Softwares de Gestão de Pessoal e Folha de Pagamento, Licitação e Compras, Protocolo, Controle de Frotas, Controle Patrimonial e Controle Interno, bem como Manutenção e Hospedagem do Portal da Transparência para a Câmara Municipal de Palminópolis-GO.</t>
  </si>
  <si>
    <t xml:space="preserve">https://pncp.gov.br/app/contratos/contratos/04221276000150/2025/6</t>
  </si>
  <si>
    <t xml:space="preserve">SAO FRANCISCO DE GOIAS CAMARA MUNICIPAL</t>
  </si>
  <si>
    <t xml:space="preserve">São Francisco de Goiás</t>
  </si>
  <si>
    <t xml:space="preserve">CONTRATAÇÃO DE EMPRESA ESPECIALIZADA  EM  SERVIÇOS DE LOCAÇÃO E MANUTENÇÃO EM SISTEMAS DE SOFTWARES PARA GESTÃO PUBLICA, CONTABIL, RH, PROTOCOLO, FROTAS, FOLHA DE PAGAMENTO, COMPRAS E LICITAÇÕES, PARA A CÂMARA DE MUNICIPAL DE SÃO FRANCISCO NO ANO DE 2026.</t>
  </si>
  <si>
    <t xml:space="preserve">https://pncp.gov.br/app/contratos/contratos/04280298000191/2026/6</t>
  </si>
  <si>
    <t xml:space="preserve">CONTRATAÇÃO DE EMPRESA ESPECIALIZADA  EM  SERVIÇOS DE LOCAÇÃO E MANUTENÇÃO EM SISTEMAS DE SOFTWARES PARA GESTÃO PUBLICA, CONTABIL, RH, PROTOCOLO, FROTAS, FOLHA DE PAGAMENTO, COMPRAS E LICITAÇÕES, PARA A CÂMARA DE MUNICIPAL DE SÃO FRANCISCO NO ANO DE 2025.</t>
  </si>
  <si>
    <t xml:space="preserve">https://pncp.gov.br/app/contratos/contratos/04280298000191/2025/29</t>
  </si>
  <si>
    <t xml:space="preserve">PORANGATU CAMARA MUNICIPAL</t>
  </si>
  <si>
    <t xml:space="preserve">Centi Tecnologia Ltda (09.590.567/0001-30)</t>
  </si>
  <si>
    <t xml:space="preserve">LOCAÇÃO/LICENCIAMENTO DE SOFTWARE DE SISTEMAS DE GESTÃO PÚBLICA 100% WEB – MARCA (CENTI), PARA O PODER LEGISLATIVO, COM DISPONIBILIZAÇÃO DE AMBIENTE, SUPORTE TÉCNICO, MANUTENÇÃO (CORRETIVA, PREVENTIVA E EVOLUTIVA), ATUALIZAÇÕES LEGAIS/TECNOLÓGICAS, TREINAMENTO E INTEGRAÇÕES, PARA ATENDER ÀS NECESSIDADES DA CÂMARA MUNICIPAL DE PORANGATU/GO.</t>
  </si>
  <si>
    <t xml:space="preserve">https://pncp.gov.br/app/contratos/contratos/00824730000107/2026/22</t>
  </si>
</sst>
</file>

<file path=xl/styles.xml><?xml version="1.0" encoding="utf-8"?>
<styleSheet xmlns="http://schemas.openxmlformats.org/spreadsheetml/2006/main">
  <numFmts count="6">
    <numFmt numFmtId="164" formatCode="General"/>
    <numFmt numFmtId="165" formatCode="#,##0"/>
    <numFmt numFmtId="166" formatCode="dd/mm/yyyy"/>
    <numFmt numFmtId="167" formatCode="0.0"/>
    <numFmt numFmtId="168" formatCode="&quot;R$ &quot;#,##0;&quot;(R$ &quot;#,##0\);\-"/>
    <numFmt numFmtId="169" formatCode="&quot;R$ &quot;#,##0.00;&quot;(R$ &quot;#,##0.00\);\-"/>
  </numFmts>
  <fonts count="8">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2"/>
      <color rgb="FF1F3864"/>
      <name val="Arial"/>
      <family val="0"/>
      <charset val="1"/>
    </font>
    <font>
      <sz val="10"/>
      <name val="Arial"/>
      <family val="0"/>
      <charset val="1"/>
    </font>
    <font>
      <b val="true"/>
      <sz val="10"/>
      <color rgb="FFFFFFFF"/>
      <name val="Arial"/>
      <family val="0"/>
      <charset val="1"/>
    </font>
  </fonts>
  <fills count="4">
    <fill>
      <patternFill patternType="none"/>
    </fill>
    <fill>
      <patternFill patternType="gray125"/>
    </fill>
    <fill>
      <patternFill patternType="solid">
        <fgColor rgb="FF1F3864"/>
        <bgColor rgb="FF333333"/>
      </patternFill>
    </fill>
    <fill>
      <patternFill patternType="solid">
        <fgColor rgb="FFF2F2F2"/>
        <bgColor rgb="FFFFFFFF"/>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1" xfId="0" applyFont="true" applyBorder="true" applyAlignment="true" applyProtection="false">
      <alignment horizontal="center" vertical="center" textRotation="0" wrapText="true" indent="0" shrinkToFit="false"/>
      <protection locked="true" hidden="false"/>
    </xf>
    <xf numFmtId="164" fontId="6" fillId="3" borderId="1" xfId="0" applyFont="true" applyBorder="true" applyAlignment="false" applyProtection="false">
      <alignment horizontal="general" vertical="bottom" textRotation="0" wrapText="false" indent="0" shrinkToFit="false"/>
      <protection locked="true" hidden="false"/>
    </xf>
    <xf numFmtId="165" fontId="6" fillId="3" borderId="1" xfId="0" applyFont="true" applyBorder="true" applyAlignment="false" applyProtection="false">
      <alignment horizontal="general" vertical="bottom" textRotation="0" wrapText="false" indent="0" shrinkToFit="false"/>
      <protection locked="true" hidden="false"/>
    </xf>
    <xf numFmtId="166" fontId="6" fillId="3" borderId="1" xfId="0" applyFont="true" applyBorder="true" applyAlignment="false" applyProtection="false">
      <alignment horizontal="general" vertical="bottom" textRotation="0" wrapText="false" indent="0" shrinkToFit="false"/>
      <protection locked="true" hidden="false"/>
    </xf>
    <xf numFmtId="167" fontId="6" fillId="3" borderId="1" xfId="0" applyFont="true" applyBorder="true" applyAlignment="false" applyProtection="false">
      <alignment horizontal="general" vertical="bottom" textRotation="0" wrapText="false" indent="0" shrinkToFit="false"/>
      <protection locked="true" hidden="false"/>
    </xf>
    <xf numFmtId="168" fontId="6" fillId="3" borderId="1" xfId="0" applyFont="true" applyBorder="true" applyAlignment="false" applyProtection="false">
      <alignment horizontal="general" vertical="bottom" textRotation="0" wrapText="false" indent="0" shrinkToFit="false"/>
      <protection locked="true" hidden="false"/>
    </xf>
    <xf numFmtId="169" fontId="6" fillId="3"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65" fontId="6" fillId="0" borderId="1" xfId="0" applyFont="true" applyBorder="true" applyAlignment="false" applyProtection="false">
      <alignment horizontal="general" vertical="bottom" textRotation="0" wrapText="false" indent="0" shrinkToFit="false"/>
      <protection locked="true" hidden="false"/>
    </xf>
    <xf numFmtId="166" fontId="6" fillId="0" borderId="1" xfId="0" applyFont="true" applyBorder="true" applyAlignment="false" applyProtection="false">
      <alignment horizontal="general" vertical="bottom" textRotation="0" wrapText="false" indent="0" shrinkToFit="false"/>
      <protection locked="true" hidden="false"/>
    </xf>
    <xf numFmtId="167" fontId="6" fillId="0" borderId="1" xfId="0" applyFont="true" applyBorder="true" applyAlignment="false" applyProtection="false">
      <alignment horizontal="general" vertical="bottom" textRotation="0" wrapText="false" indent="0" shrinkToFit="false"/>
      <protection locked="true" hidden="false"/>
    </xf>
    <xf numFmtId="168" fontId="6" fillId="0" borderId="1" xfId="0" applyFont="true" applyBorder="true" applyAlignment="false" applyProtection="false">
      <alignment horizontal="general" vertical="bottom" textRotation="0" wrapText="false" indent="0" shrinkToFit="false"/>
      <protection locked="true" hidden="false"/>
    </xf>
    <xf numFmtId="169" fontId="6" fillId="0" borderId="1" xfId="0" applyFont="tru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bottom" textRotation="0" wrapText="true" indent="0" shrinkToFit="false"/>
      <protection locked="true" hidden="false"/>
    </xf>
    <xf numFmtId="164" fontId="6" fillId="3" borderId="1"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3864"/>
          <bgColor rgb="FF000000"/>
        </patternFill>
      </fill>
    </dxf>
    <dxf>
      <fill>
        <patternFill patternType="solid">
          <fgColor rgb="FFF2F2F2"/>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2F2F2"/>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4.xml.rels><?xml version="1.0" encoding="UTF-8"?>
<Relationships xmlns="http://schemas.openxmlformats.org/package/2006/relationships"><Relationship Id="rId1" Type="http://schemas.openxmlformats.org/officeDocument/2006/relationships/drawing" Target="../drawings/drawing3.xml"/>
</Relationships>
</file>

<file path=xl/worksheets/_rels/sheet5.xml.rels><?xml version="1.0" encoding="UTF-8"?>
<Relationships xmlns="http://schemas.openxmlformats.org/package/2006/relationships"><Relationship Id="rId1" Type="http://schemas.openxmlformats.org/officeDocument/2006/relationships/drawing" Target="../drawings/drawing4.xml"/>
</Relationships>
</file>

<file path=xl/worksheets/_rels/sheet6.xml.rels><?xml version="1.0" encoding="UTF-8"?>
<Relationships xmlns="http://schemas.openxmlformats.org/package/2006/relationships"><Relationship Id="rId1" Type="http://schemas.openxmlformats.org/officeDocument/2006/relationships/drawing" Target="../drawings/drawing5.xml"/>
</Relationships>
</file>

<file path=xl/worksheets/_rels/sheet7.xml.rels><?xml version="1.0" encoding="UTF-8"?>
<Relationships xmlns="http://schemas.openxmlformats.org/package/2006/relationships"><Relationship Id="rId1" Type="http://schemas.openxmlformats.org/officeDocument/2006/relationships/drawing" Target="../drawings/drawing6.xml"/>
</Relationships>
</file>

<file path=xl/worksheets/_rels/sheet8.xml.rels><?xml version="1.0" encoding="UTF-8"?>
<Relationships xmlns="http://schemas.openxmlformats.org/package/2006/relationships"><Relationship Id="rId1" Type="http://schemas.openxmlformats.org/officeDocument/2006/relationships/drawing" Target="../drawings/drawing7.xml"/>
</Relationships>
</file>

<file path=xl/worksheets/_rels/sheet9.xml.rels><?xml version="1.0" encoding="UTF-8"?>
<Relationships xmlns="http://schemas.openxmlformats.org/package/2006/relationships"><Relationship Id="rId1" Type="http://schemas.openxmlformats.org/officeDocument/2006/relationships/drawing" Target="../drawings/drawing8.xml"/>
</Relationships>
</file>

<file path=xl/worksheets/_rels/sheet10.xml.rels><?xml version="1.0" encoding="UTF-8"?>
<Relationships xmlns="http://schemas.openxmlformats.org/package/2006/relationships"><Relationship Id="rId1" Type="http://schemas.openxmlformats.org/officeDocument/2006/relationships/drawing" Target="../drawings/drawing9.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7.25" hidden="false" customHeight="true" outlineLevel="0" collapsed="false">
      <c r="A1" s="1" t="s">
        <v>0</v>
      </c>
    </row>
    <row r="3" customFormat="false" ht="15" hidden="false" customHeight="false" outlineLevel="0" collapsed="false">
      <c r="A3" s="2" t="s">
        <v>1</v>
      </c>
    </row>
    <row r="5" customFormat="false" ht="15" hidden="false" customHeight="false" outlineLevel="0" collapsed="false">
      <c r="A5" s="3" t="s">
        <v>2</v>
      </c>
    </row>
    <row r="6" customFormat="false" ht="15" hidden="false" customHeight="false" outlineLevel="0" collapsed="false">
      <c r="A6" s="3" t="s">
        <v>3</v>
      </c>
    </row>
    <row r="7" customFormat="false" ht="15" hidden="false" customHeight="false" outlineLevel="0" collapsed="false">
      <c r="A7" s="3" t="s">
        <v>4</v>
      </c>
    </row>
    <row r="8" customFormat="false" ht="1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t="s">
        <v>7</v>
      </c>
    </row>
    <row r="11" customFormat="false" ht="15" hidden="false" customHeight="false" outlineLevel="0" collapsed="false">
      <c r="A11" s="3" t="s">
        <v>8</v>
      </c>
    </row>
    <row r="12" customFormat="false" ht="15" hidden="false" customHeight="false" outlineLevel="0" collapsed="false">
      <c r="A12" s="3" t="s">
        <v>9</v>
      </c>
    </row>
    <row r="14" customFormat="false" ht="15" hidden="false" customHeight="false" outlineLevel="0" collapsed="false">
      <c r="A14" s="2" t="s">
        <v>10</v>
      </c>
    </row>
    <row r="16" customFormat="false" ht="15" hidden="false" customHeight="false" outlineLevel="0" collapsed="false">
      <c r="A16" s="3" t="s">
        <v>11</v>
      </c>
    </row>
    <row r="17" customFormat="false" ht="15" hidden="false" customHeight="false" outlineLevel="0" collapsed="false">
      <c r="A17" s="3" t="s">
        <v>12</v>
      </c>
    </row>
    <row r="18" customFormat="false" ht="15" hidden="false" customHeight="false" outlineLevel="0" collapsed="false">
      <c r="A18" s="3" t="s">
        <v>13</v>
      </c>
    </row>
    <row r="19" customFormat="false" ht="15" hidden="false" customHeight="false" outlineLevel="0" collapsed="false">
      <c r="A19" s="3" t="s">
        <v>14</v>
      </c>
    </row>
    <row r="20" customFormat="false" ht="15" hidden="false" customHeight="false" outlineLevel="0" collapsed="false">
      <c r="A20" s="3" t="s">
        <v>15</v>
      </c>
    </row>
    <row r="21" customFormat="false" ht="15" hidden="false" customHeight="false" outlineLevel="0" collapsed="false">
      <c r="A21" s="3" t="s">
        <v>16</v>
      </c>
    </row>
    <row r="23" customFormat="false" ht="15" hidden="false" customHeight="false" outlineLevel="0" collapsed="false">
      <c r="A23" s="2" t="s">
        <v>17</v>
      </c>
    </row>
    <row r="25" customFormat="false" ht="15" hidden="false" customHeight="false" outlineLevel="0" collapsed="false">
      <c r="A25" s="3" t="s">
        <v>18</v>
      </c>
    </row>
    <row r="26" customFormat="false" ht="15" hidden="false" customHeight="false" outlineLevel="0" collapsed="false">
      <c r="A26" s="3" t="s">
        <v>19</v>
      </c>
    </row>
    <row r="27" customFormat="false" ht="15" hidden="false" customHeight="false" outlineLevel="0" collapsed="false">
      <c r="A27" s="3" t="s">
        <v>20</v>
      </c>
    </row>
    <row r="28" customFormat="false" ht="15" hidden="false" customHeight="false" outlineLevel="0" collapsed="false">
      <c r="A28" s="3" t="s">
        <v>21</v>
      </c>
    </row>
    <row r="29" customFormat="false" ht="15" hidden="false" customHeight="false" outlineLevel="0" collapsed="false">
      <c r="A29" s="3" t="s">
        <v>22</v>
      </c>
    </row>
    <row r="30" customFormat="false" ht="15" hidden="false" customHeight="false" outlineLevel="0" collapsed="false">
      <c r="A30" s="3" t="s">
        <v>23</v>
      </c>
    </row>
    <row r="31" customFormat="false" ht="15" hidden="false" customHeight="false" outlineLevel="0" collapsed="false">
      <c r="A31" s="3" t="s">
        <v>24</v>
      </c>
    </row>
    <row r="32" customFormat="false" ht="15" hidden="false" customHeight="false" outlineLevel="0" collapsed="false">
      <c r="A32" s="3" t="s">
        <v>25</v>
      </c>
    </row>
    <row r="34" customFormat="false" ht="15" hidden="false" customHeight="false" outlineLevel="0" collapsed="false">
      <c r="A34" s="2" t="s">
        <v>26</v>
      </c>
    </row>
    <row r="36" customFormat="false" ht="15" hidden="false" customHeight="false" outlineLevel="0" collapsed="false">
      <c r="A36" s="3" t="s">
        <v>27</v>
      </c>
    </row>
    <row r="37" customFormat="false" ht="15" hidden="false" customHeight="false" outlineLevel="0" collapsed="false">
      <c r="A37" s="3" t="s">
        <v>28</v>
      </c>
    </row>
    <row r="38" customFormat="false" ht="15" hidden="false" customHeight="false" outlineLevel="0" collapsed="false">
      <c r="A38" s="3" t="s">
        <v>29</v>
      </c>
    </row>
    <row r="39" customFormat="false" ht="15" hidden="false" customHeight="false" outlineLevel="0" collapsed="false">
      <c r="A39" s="3" t="s">
        <v>30</v>
      </c>
    </row>
    <row r="40" customFormat="false" ht="15" hidden="false" customHeight="false" outlineLevel="0" collapsed="false">
      <c r="A40" s="3" t="s">
        <v>31</v>
      </c>
    </row>
    <row r="41" customFormat="false" ht="15" hidden="false" customHeight="false" outlineLevel="0" collapsed="false">
      <c r="A41" s="3" t="s">
        <v>32</v>
      </c>
    </row>
    <row r="42" customFormat="false" ht="15" hidden="false" customHeight="false" outlineLevel="0" collapsed="false">
      <c r="A42" s="3" t="s">
        <v>33</v>
      </c>
    </row>
    <row r="44" customFormat="false" ht="15" hidden="false" customHeight="false" outlineLevel="0" collapsed="false">
      <c r="A44" s="2" t="s">
        <v>34</v>
      </c>
    </row>
    <row r="46" customFormat="false" ht="15" hidden="false" customHeight="false" outlineLevel="0" collapsed="false">
      <c r="A46" s="3" t="s">
        <v>35</v>
      </c>
    </row>
    <row r="47" customFormat="false" ht="15" hidden="false" customHeight="false" outlineLevel="0" collapsed="false">
      <c r="A47" s="3" t="s">
        <v>36</v>
      </c>
    </row>
    <row r="48" customFormat="false" ht="15" hidden="false" customHeight="false" outlineLevel="0" collapsed="false">
      <c r="A48" s="3" t="s">
        <v>37</v>
      </c>
    </row>
    <row r="49" customFormat="false" ht="15" hidden="false" customHeight="false" outlineLevel="0" collapsed="false">
      <c r="A49" s="3" t="s">
        <v>38</v>
      </c>
    </row>
    <row r="50" customFormat="false" ht="15" hidden="false" customHeight="false" outlineLevel="0" collapsed="false">
      <c r="A50" s="3" t="s">
        <v>39</v>
      </c>
    </row>
    <row r="51" customFormat="false" ht="15" hidden="false" customHeight="false" outlineLevel="0" collapsed="false">
      <c r="A51" s="3" t="s">
        <v>40</v>
      </c>
    </row>
    <row r="52" customFormat="false" ht="15" hidden="false" customHeight="false" outlineLevel="0" collapsed="false">
      <c r="A52" s="3" t="s">
        <v>41</v>
      </c>
    </row>
    <row r="53" customFormat="false" ht="15" hidden="false" customHeight="false" outlineLevel="0" collapsed="false">
      <c r="A53" s="3" t="s">
        <v>42</v>
      </c>
    </row>
    <row r="54" customFormat="false" ht="15" hidden="false" customHeight="false" outlineLevel="0" collapsed="false">
      <c r="A54" s="3" t="s">
        <v>43</v>
      </c>
    </row>
    <row r="55" customFormat="false" ht="15" hidden="false" customHeight="false" outlineLevel="0" collapsed="false">
      <c r="A55" s="3" t="s">
        <v>44</v>
      </c>
    </row>
    <row r="56" customFormat="false" ht="15" hidden="false" customHeight="false" outlineLevel="0" collapsed="false">
      <c r="A56" s="3" t="s">
        <v>45</v>
      </c>
    </row>
    <row r="57" customFormat="false" ht="15" hidden="false" customHeight="false" outlineLevel="0" collapsed="false">
      <c r="A57" s="3" t="s">
        <v>46</v>
      </c>
    </row>
    <row r="59" customFormat="false" ht="15" hidden="false" customHeight="false" outlineLevel="0" collapsed="false">
      <c r="A59" s="2" t="s">
        <v>47</v>
      </c>
    </row>
    <row r="61" customFormat="false" ht="15" hidden="false" customHeight="false" outlineLevel="0" collapsed="false">
      <c r="A61" s="3" t="s">
        <v>48</v>
      </c>
    </row>
    <row r="62" customFormat="false" ht="15" hidden="false" customHeight="false" outlineLevel="0" collapsed="false">
      <c r="A62" s="3" t="s">
        <v>49</v>
      </c>
    </row>
    <row r="63" customFormat="false" ht="15" hidden="false" customHeight="false" outlineLevel="0" collapsed="false">
      <c r="A63" s="3" t="s">
        <v>50</v>
      </c>
    </row>
    <row r="64" customFormat="false" ht="15" hidden="false" customHeight="false" outlineLevel="0" collapsed="false">
      <c r="A64" s="3" t="s">
        <v>51</v>
      </c>
    </row>
    <row r="65" customFormat="false" ht="15" hidden="false" customHeight="false" outlineLevel="0" collapsed="false">
      <c r="A65" s="3" t="s">
        <v>52</v>
      </c>
    </row>
    <row r="67" customFormat="false" ht="15" hidden="false" customHeight="false" outlineLevel="0" collapsed="false">
      <c r="A67" s="2" t="s">
        <v>53</v>
      </c>
    </row>
    <row r="69" customFormat="false" ht="15" hidden="false" customHeight="false" outlineLevel="0" collapsed="false">
      <c r="A69" s="3" t="s">
        <v>54</v>
      </c>
    </row>
    <row r="70" customFormat="false" ht="15" hidden="false" customHeight="false" outlineLevel="0" collapsed="false">
      <c r="A70" s="3" t="s">
        <v>55</v>
      </c>
    </row>
    <row r="72" customFormat="false" ht="15" hidden="false" customHeight="false" outlineLevel="0" collapsed="false">
      <c r="A72" s="2" t="s">
        <v>56</v>
      </c>
    </row>
    <row r="74" customFormat="false" ht="15" hidden="false" customHeight="false" outlineLevel="0" collapsed="false">
      <c r="A74" s="3" t="s">
        <v>57</v>
      </c>
    </row>
    <row r="76" customFormat="false" ht="15" hidden="false" customHeight="false" outlineLevel="0" collapsed="false">
      <c r="A76" s="2" t="s">
        <v>58</v>
      </c>
    </row>
    <row r="78" customFormat="false" ht="15" hidden="false" customHeight="false" outlineLevel="0" collapsed="false">
      <c r="A78" s="3" t="s">
        <v>59</v>
      </c>
    </row>
    <row r="80" customFormat="false" ht="15" hidden="false" customHeight="false" outlineLevel="0" collapsed="false">
      <c r="A80" s="2" t="s">
        <v>60</v>
      </c>
    </row>
    <row r="82" customFormat="false" ht="15" hidden="false" customHeight="false" outlineLevel="0" collapsed="false">
      <c r="A82" s="3" t="s">
        <v>61</v>
      </c>
    </row>
    <row r="84" customFormat="false" ht="15" hidden="false" customHeight="false" outlineLevel="0" collapsed="false">
      <c r="A84" s="2" t="s">
        <v>62</v>
      </c>
    </row>
    <row r="86" customFormat="false" ht="15" hidden="false" customHeight="false" outlineLevel="0" collapsed="false">
      <c r="A86" s="3" t="s">
        <v>63</v>
      </c>
    </row>
    <row r="87" customFormat="false" ht="15" hidden="false" customHeight="false" outlineLevel="0" collapsed="false">
      <c r="A87" s="3" t="s">
        <v>64</v>
      </c>
    </row>
    <row r="88" customFormat="false" ht="15" hidden="false" customHeight="false" outlineLevel="0" collapsed="false">
      <c r="A88" s="3" t="s">
        <v>65</v>
      </c>
    </row>
    <row r="89" customFormat="false" ht="15" hidden="false" customHeight="false" outlineLevel="0" collapsed="false">
      <c r="A89" s="3" t="s">
        <v>66</v>
      </c>
    </row>
    <row r="90" customFormat="false" ht="15" hidden="false" customHeight="false" outlineLevel="0" collapsed="false">
      <c r="A90" s="3" t="s">
        <v>67</v>
      </c>
    </row>
    <row r="92" customFormat="false" ht="15" hidden="false" customHeight="false" outlineLevel="0" collapsed="false">
      <c r="A92" s="2" t="s">
        <v>68</v>
      </c>
    </row>
    <row r="94" customFormat="false" ht="15" hidden="false" customHeight="false" outlineLevel="0" collapsed="false">
      <c r="A94" s="3" t="s">
        <v>69</v>
      </c>
    </row>
    <row r="96" customFormat="false" ht="15" hidden="false" customHeight="false" outlineLevel="0" collapsed="false">
      <c r="A96" s="2" t="s">
        <v>70</v>
      </c>
    </row>
    <row r="98" customFormat="false" ht="15" hidden="false" customHeight="false" outlineLevel="0" collapsed="false">
      <c r="A98" s="3" t="s">
        <v>71</v>
      </c>
    </row>
    <row r="99" customFormat="false" ht="15" hidden="false" customHeight="false" outlineLevel="0" collapsed="false">
      <c r="A99" s="3" t="s">
        <v>72</v>
      </c>
    </row>
    <row r="100" customFormat="false" ht="15" hidden="false" customHeight="false" outlineLevel="0" collapsed="false">
      <c r="A100" s="3" t="s">
        <v>73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93</v>
      </c>
      <c r="B2" s="5" t="s">
        <v>94</v>
      </c>
      <c r="C2" s="5" t="s">
        <v>95</v>
      </c>
      <c r="D2" s="5" t="s">
        <v>96</v>
      </c>
      <c r="E2" s="6" t="n">
        <v>18443</v>
      </c>
      <c r="F2" s="5" t="s">
        <v>97</v>
      </c>
      <c r="G2" s="5" t="n">
        <v>2026</v>
      </c>
      <c r="H2" s="5" t="s">
        <v>98</v>
      </c>
      <c r="I2" s="7" t="n">
        <v>46080</v>
      </c>
      <c r="J2" s="7" t="n">
        <v>46445</v>
      </c>
      <c r="K2" s="5" t="str">
        <f aca="true">IF(J2="","",IF(J2&gt;=TODAY(),"Vigente","Encerrado"))</f>
        <v>Vigente</v>
      </c>
      <c r="L2" s="8" t="n">
        <f aca="false">IF(OR(I2="",J2=""),"",ROUND((J2-I2)/30.44,1))</f>
        <v>12</v>
      </c>
      <c r="M2" s="9" t="n">
        <v>162000</v>
      </c>
      <c r="N2" s="9" t="n">
        <f aca="false">IF(OR(L2="",L2=0,M2=""),"",M2/L2)</f>
        <v>13500</v>
      </c>
      <c r="O2" s="10" t="n">
        <f aca="false">IF(OR(E2=0,N2=""),"",N2*12/E2)</f>
        <v>8.78382041967142</v>
      </c>
      <c r="P2" s="5" t="s">
        <v>99</v>
      </c>
      <c r="Q2" s="5" t="s">
        <v>100</v>
      </c>
      <c r="R2" s="5" t="s">
        <v>101</v>
      </c>
      <c r="S2" s="5" t="s">
        <v>102</v>
      </c>
    </row>
    <row r="3" customFormat="false" ht="15" hidden="false" customHeight="false" outlineLevel="0" collapsed="false">
      <c r="A3" s="11" t="s">
        <v>103</v>
      </c>
      <c r="B3" s="11" t="s">
        <v>94</v>
      </c>
      <c r="C3" s="11" t="s">
        <v>104</v>
      </c>
      <c r="D3" s="11" t="s">
        <v>96</v>
      </c>
      <c r="E3" s="12" t="n">
        <v>36583</v>
      </c>
      <c r="F3" s="11" t="s">
        <v>105</v>
      </c>
      <c r="G3" s="11" t="n">
        <v>2025</v>
      </c>
      <c r="H3" s="11" t="s">
        <v>106</v>
      </c>
      <c r="I3" s="13" t="n">
        <v>45974</v>
      </c>
      <c r="J3" s="13" t="n">
        <v>46338</v>
      </c>
      <c r="K3" s="11" t="str">
        <f aca="true">IF(J3="","",IF(J3&gt;=TODAY(),"Vigente","Encerrado"))</f>
        <v>Vigente</v>
      </c>
      <c r="L3" s="14" t="n">
        <f aca="false">IF(OR(I3="",J3=""),"",ROUND((J3-I3)/30.44,1))</f>
        <v>12</v>
      </c>
      <c r="M3" s="15" t="n">
        <v>144000</v>
      </c>
      <c r="N3" s="15" t="n">
        <f aca="false">IF(OR(L3="",L3=0,M3=""),"",M3/L3)</f>
        <v>12000</v>
      </c>
      <c r="O3" s="16" t="n">
        <f aca="false">IF(OR(E3=0,N3=""),"",N3*12/E3)</f>
        <v>3.93625454446054</v>
      </c>
      <c r="P3" s="11" t="s">
        <v>99</v>
      </c>
      <c r="Q3" s="11" t="s">
        <v>100</v>
      </c>
      <c r="R3" s="11" t="s">
        <v>107</v>
      </c>
      <c r="S3" s="11" t="s">
        <v>108</v>
      </c>
    </row>
    <row r="4" customFormat="false" ht="15" hidden="false" customHeight="false" outlineLevel="0" collapsed="false">
      <c r="A4" s="5" t="s">
        <v>109</v>
      </c>
      <c r="B4" s="5" t="s">
        <v>94</v>
      </c>
      <c r="C4" s="5" t="s">
        <v>110</v>
      </c>
      <c r="D4" s="5" t="s">
        <v>96</v>
      </c>
      <c r="E4" s="6" t="n">
        <v>14156</v>
      </c>
      <c r="F4" s="5" t="s">
        <v>97</v>
      </c>
      <c r="G4" s="5" t="n">
        <v>2026</v>
      </c>
      <c r="H4" s="5" t="s">
        <v>111</v>
      </c>
      <c r="I4" s="7" t="n">
        <v>46072</v>
      </c>
      <c r="J4" s="7" t="n">
        <v>46387</v>
      </c>
      <c r="K4" s="5" t="str">
        <f aca="true">IF(J4="","",IF(J4&gt;=TODAY(),"Vigente","Encerrado"))</f>
        <v>Vigente</v>
      </c>
      <c r="L4" s="8" t="n">
        <f aca="false">IF(OR(I4="",J4=""),"",ROUND((J4-I4)/30.44,1))</f>
        <v>10.3</v>
      </c>
      <c r="M4" s="9" t="n">
        <v>16500</v>
      </c>
      <c r="N4" s="9" t="n">
        <f aca="false">IF(OR(L4="",L4=0,M4=""),"",M4/L4)</f>
        <v>1601.94174757282</v>
      </c>
      <c r="O4" s="10" t="n">
        <f aca="false">IF(OR(E4=0,N4=""),"",N4*12/E4)</f>
        <v>1.35796135708348</v>
      </c>
      <c r="P4" s="5" t="s">
        <v>99</v>
      </c>
      <c r="Q4" s="5" t="s">
        <v>100</v>
      </c>
      <c r="R4" s="5" t="s">
        <v>112</v>
      </c>
      <c r="S4" s="5" t="s">
        <v>113</v>
      </c>
    </row>
    <row r="5" customFormat="false" ht="15" hidden="false" customHeight="false" outlineLevel="0" collapsed="false">
      <c r="A5" s="11" t="s">
        <v>114</v>
      </c>
      <c r="B5" s="11" t="s">
        <v>94</v>
      </c>
      <c r="C5" s="11" t="s">
        <v>115</v>
      </c>
      <c r="D5" s="11" t="s">
        <v>96</v>
      </c>
      <c r="E5" s="12" t="n">
        <v>8405</v>
      </c>
      <c r="F5" s="11" t="s">
        <v>97</v>
      </c>
      <c r="G5" s="11" t="n">
        <v>2025</v>
      </c>
      <c r="H5" s="11" t="s">
        <v>98</v>
      </c>
      <c r="I5" s="13" t="n">
        <v>45905</v>
      </c>
      <c r="J5" s="13" t="n">
        <v>46270</v>
      </c>
      <c r="K5" s="11" t="str">
        <f aca="true">IF(J5="","",IF(J5&gt;=TODAY(),"Vigente","Encerrado"))</f>
        <v>Encerrado</v>
      </c>
      <c r="L5" s="14" t="n">
        <f aca="false">IF(OR(I5="",J5=""),"",ROUND((J5-I5)/30.44,1))</f>
        <v>12</v>
      </c>
      <c r="M5" s="15" t="n">
        <v>99600</v>
      </c>
      <c r="N5" s="15" t="n">
        <f aca="false">IF(OR(L5="",L5=0,M5=""),"",M5/L5)</f>
        <v>8300</v>
      </c>
      <c r="O5" s="16" t="n">
        <f aca="false">IF(OR(E5=0,N5=""),"",N5*12/E5)</f>
        <v>11.8500892325996</v>
      </c>
      <c r="P5" s="11" t="s">
        <v>99</v>
      </c>
      <c r="Q5" s="11" t="s">
        <v>100</v>
      </c>
      <c r="R5" s="11" t="s">
        <v>116</v>
      </c>
      <c r="S5" s="11" t="s">
        <v>117</v>
      </c>
    </row>
    <row r="6" customFormat="false" ht="15" hidden="false" customHeight="false" outlineLevel="0" collapsed="false">
      <c r="A6" s="5" t="s">
        <v>118</v>
      </c>
      <c r="B6" s="5" t="s">
        <v>94</v>
      </c>
      <c r="C6" s="5" t="s">
        <v>119</v>
      </c>
      <c r="D6" s="5" t="s">
        <v>96</v>
      </c>
      <c r="E6" s="6" t="n">
        <v>2973</v>
      </c>
      <c r="F6" s="5" t="s">
        <v>97</v>
      </c>
      <c r="G6" s="5" t="n">
        <v>2025</v>
      </c>
      <c r="H6" s="5" t="s">
        <v>98</v>
      </c>
      <c r="I6" s="7" t="n">
        <v>45987</v>
      </c>
      <c r="J6" s="7" t="n">
        <v>47812</v>
      </c>
      <c r="K6" s="5" t="str">
        <f aca="true">IF(J6="","",IF(J6&gt;=TODAY(),"Vigente","Encerrado"))</f>
        <v>Vigente</v>
      </c>
      <c r="L6" s="8" t="n">
        <f aca="false">IF(OR(I6="",J6=""),"",ROUND((J6-I6)/30.44,1))</f>
        <v>60</v>
      </c>
      <c r="M6" s="9" t="n">
        <v>489000</v>
      </c>
      <c r="N6" s="9" t="n">
        <f aca="false">IF(OR(L6="",L6=0,M6=""),"",M6/L6)</f>
        <v>8150</v>
      </c>
      <c r="O6" s="10" t="n">
        <f aca="false">IF(OR(E6=0,N6=""),"",N6*12/E6)</f>
        <v>32.8960645812311</v>
      </c>
      <c r="P6" s="5" t="s">
        <v>99</v>
      </c>
      <c r="Q6" s="5" t="s">
        <v>100</v>
      </c>
      <c r="R6" s="5" t="s">
        <v>120</v>
      </c>
      <c r="S6" s="5" t="s">
        <v>121</v>
      </c>
    </row>
    <row r="7" customFormat="false" ht="15" hidden="false" customHeight="false" outlineLevel="0" collapsed="false">
      <c r="A7" s="11" t="s">
        <v>122</v>
      </c>
      <c r="B7" s="11" t="s">
        <v>94</v>
      </c>
      <c r="C7" s="11" t="s">
        <v>123</v>
      </c>
      <c r="D7" s="11" t="s">
        <v>96</v>
      </c>
      <c r="E7" s="12" t="n">
        <v>2952</v>
      </c>
      <c r="F7" s="11" t="s">
        <v>97</v>
      </c>
      <c r="G7" s="11" t="n">
        <v>2026</v>
      </c>
      <c r="H7" s="11" t="s">
        <v>98</v>
      </c>
      <c r="I7" s="13" t="n">
        <v>46188</v>
      </c>
      <c r="J7" s="13" t="n">
        <v>46553</v>
      </c>
      <c r="K7" s="11" t="str">
        <f aca="true">IF(J7="","",IF(J7&gt;=TODAY(),"Vigente","Encerrado"))</f>
        <v>Vigente</v>
      </c>
      <c r="L7" s="14" t="n">
        <f aca="false">IF(OR(I7="",J7=""),"",ROUND((J7-I7)/30.44,1))</f>
        <v>12</v>
      </c>
      <c r="M7" s="15" t="n">
        <v>114000</v>
      </c>
      <c r="N7" s="15" t="n">
        <f aca="false">IF(OR(L7="",L7=0,M7=""),"",M7/L7)</f>
        <v>9500</v>
      </c>
      <c r="O7" s="16" t="n">
        <f aca="false">IF(OR(E7=0,N7=""),"",N7*12/E7)</f>
        <v>38.6178861788618</v>
      </c>
      <c r="P7" s="11" t="s">
        <v>124</v>
      </c>
      <c r="Q7" s="11" t="s">
        <v>100</v>
      </c>
      <c r="R7" s="11" t="s">
        <v>125</v>
      </c>
      <c r="S7" s="11" t="s">
        <v>126</v>
      </c>
    </row>
    <row r="8" customFormat="false" ht="15" hidden="false" customHeight="false" outlineLevel="0" collapsed="false">
      <c r="A8" s="5" t="s">
        <v>127</v>
      </c>
      <c r="B8" s="5" t="s">
        <v>94</v>
      </c>
      <c r="C8" s="5" t="s">
        <v>128</v>
      </c>
      <c r="D8" s="5" t="s">
        <v>96</v>
      </c>
      <c r="E8" s="6" t="n">
        <v>4153</v>
      </c>
      <c r="F8" s="5" t="s">
        <v>97</v>
      </c>
      <c r="G8" s="5" t="n">
        <v>2025</v>
      </c>
      <c r="H8" s="5" t="s">
        <v>98</v>
      </c>
      <c r="I8" s="7" t="n">
        <v>45810</v>
      </c>
      <c r="J8" s="7" t="n">
        <v>46174</v>
      </c>
      <c r="K8" s="5" t="str">
        <f aca="true">IF(J8="","",IF(J8&gt;=TODAY(),"Vigente","Encerrado"))</f>
        <v>Encerrado</v>
      </c>
      <c r="L8" s="8" t="n">
        <f aca="false">IF(OR(I8="",J8=""),"",ROUND((J8-I8)/30.44,1))</f>
        <v>12</v>
      </c>
      <c r="M8" s="9" t="n">
        <v>102000</v>
      </c>
      <c r="N8" s="9" t="n">
        <f aca="false">IF(OR(L8="",L8=0,M8=""),"",M8/L8)</f>
        <v>8500</v>
      </c>
      <c r="O8" s="10" t="n">
        <f aca="false">IF(OR(E8=0,N8=""),"",N8*12/E8)</f>
        <v>24.560558632314</v>
      </c>
      <c r="P8" s="5" t="s">
        <v>124</v>
      </c>
      <c r="Q8" s="5" t="s">
        <v>100</v>
      </c>
      <c r="R8" s="5" t="s">
        <v>129</v>
      </c>
      <c r="S8" s="5" t="s">
        <v>130</v>
      </c>
    </row>
    <row r="9" customFormat="false" ht="15" hidden="false" customHeight="false" outlineLevel="0" collapsed="false">
      <c r="A9" s="11" t="s">
        <v>131</v>
      </c>
      <c r="B9" s="11" t="s">
        <v>94</v>
      </c>
      <c r="C9" s="11" t="s">
        <v>132</v>
      </c>
      <c r="D9" s="11" t="s">
        <v>96</v>
      </c>
      <c r="E9" s="12" t="n">
        <v>3630</v>
      </c>
      <c r="F9" s="11" t="s">
        <v>97</v>
      </c>
      <c r="G9" s="11" t="n">
        <v>2024</v>
      </c>
      <c r="H9" s="11" t="s">
        <v>111</v>
      </c>
      <c r="I9" s="13" t="n">
        <v>45357</v>
      </c>
      <c r="J9" s="13" t="n">
        <v>45657</v>
      </c>
      <c r="K9" s="11" t="str">
        <f aca="true">IF(J9="","",IF(J9&gt;=TODAY(),"Vigente","Encerrado"))</f>
        <v>Encerrado</v>
      </c>
      <c r="L9" s="14" t="n">
        <f aca="false">IF(OR(I9="",J9=""),"",ROUND((J9-I9)/30.44,1))</f>
        <v>9.9</v>
      </c>
      <c r="M9" s="15" t="n">
        <v>14400</v>
      </c>
      <c r="N9" s="15" t="n">
        <f aca="false">IF(OR(L9="",L9=0,M9=""),"",M9/L9)</f>
        <v>1454.54545454545</v>
      </c>
      <c r="O9" s="16" t="n">
        <f aca="false">IF(OR(E9=0,N9=""),"",N9*12/E9)</f>
        <v>4.8084147257701</v>
      </c>
      <c r="P9" s="11" t="s">
        <v>124</v>
      </c>
      <c r="Q9" s="11" t="s">
        <v>100</v>
      </c>
      <c r="R9" s="11" t="s">
        <v>133</v>
      </c>
      <c r="S9" s="11" t="s">
        <v>134</v>
      </c>
    </row>
    <row r="10" customFormat="false" ht="15" hidden="false" customHeight="false" outlineLevel="0" collapsed="false">
      <c r="A10" s="5" t="s">
        <v>135</v>
      </c>
      <c r="B10" s="5" t="s">
        <v>94</v>
      </c>
      <c r="C10" s="5" t="s">
        <v>136</v>
      </c>
      <c r="D10" s="5" t="s">
        <v>137</v>
      </c>
      <c r="E10" s="6" t="n">
        <v>6054</v>
      </c>
      <c r="F10" s="5" t="s">
        <v>97</v>
      </c>
      <c r="G10" s="5" t="n">
        <v>2025</v>
      </c>
      <c r="H10" s="5" t="s">
        <v>111</v>
      </c>
      <c r="I10" s="7" t="n">
        <v>45729</v>
      </c>
      <c r="J10" s="7" t="n">
        <v>46022</v>
      </c>
      <c r="K10" s="5" t="str">
        <f aca="true">IF(J10="","",IF(J10&gt;=TODAY(),"Vigente","Encerrado"))</f>
        <v>Encerrado</v>
      </c>
      <c r="L10" s="8" t="n">
        <f aca="false">IF(OR(I10="",J10=""),"",ROUND((J10-I10)/30.44,1))</f>
        <v>9.6</v>
      </c>
      <c r="M10" s="9" t="n">
        <v>40000</v>
      </c>
      <c r="N10" s="9" t="n">
        <f aca="false">IF(OR(L10="",L10=0,M10=""),"",M10/L10)</f>
        <v>4166.66666666667</v>
      </c>
      <c r="O10" s="10" t="n">
        <f aca="false">IF(OR(E10=0,N10=""),"",N10*12/E10)</f>
        <v>8.25900231252065</v>
      </c>
      <c r="P10" s="5" t="s">
        <v>138</v>
      </c>
      <c r="Q10" s="5" t="s">
        <v>100</v>
      </c>
      <c r="R10" s="5" t="s">
        <v>139</v>
      </c>
      <c r="S10" s="5" t="s">
        <v>140</v>
      </c>
    </row>
    <row r="11" customFormat="false" ht="15" hidden="false" customHeight="false" outlineLevel="0" collapsed="false">
      <c r="A11" s="11" t="s">
        <v>141</v>
      </c>
      <c r="B11" s="11" t="s">
        <v>94</v>
      </c>
      <c r="C11" s="11" t="s">
        <v>142</v>
      </c>
      <c r="D11" s="11" t="s">
        <v>96</v>
      </c>
      <c r="E11" s="12" t="n">
        <v>10365</v>
      </c>
      <c r="F11" s="11" t="s">
        <v>97</v>
      </c>
      <c r="G11" s="11" t="n">
        <v>2026</v>
      </c>
      <c r="H11" s="11" t="s">
        <v>98</v>
      </c>
      <c r="I11" s="13" t="n">
        <v>46204</v>
      </c>
      <c r="J11" s="13" t="n">
        <v>46387</v>
      </c>
      <c r="K11" s="11" t="str">
        <f aca="true">IF(J11="","",IF(J11&gt;=TODAY(),"Vigente","Encerrado"))</f>
        <v>Vigente</v>
      </c>
      <c r="L11" s="14" t="n">
        <f aca="false">IF(OR(I11="",J11=""),"",ROUND((J11-I11)/30.44,1))</f>
        <v>6</v>
      </c>
      <c r="M11" s="15" t="n">
        <v>94440</v>
      </c>
      <c r="N11" s="15" t="n">
        <f aca="false">IF(OR(L11="",L11=0,M11=""),"",M11/L11)</f>
        <v>15740</v>
      </c>
      <c r="O11" s="16" t="n">
        <f aca="false">IF(OR(E11=0,N11=""),"",N11*12/E11)</f>
        <v>18.2228654124457</v>
      </c>
      <c r="P11" s="11" t="s">
        <v>124</v>
      </c>
      <c r="Q11" s="11" t="s">
        <v>100</v>
      </c>
      <c r="R11" s="11" t="s">
        <v>143</v>
      </c>
      <c r="S11" s="11" t="s">
        <v>144</v>
      </c>
    </row>
    <row r="12" customFormat="false" ht="15" hidden="false" customHeight="false" outlineLevel="0" collapsed="false">
      <c r="A12" s="5" t="s">
        <v>145</v>
      </c>
      <c r="B12" s="5" t="s">
        <v>94</v>
      </c>
      <c r="C12" s="5" t="s">
        <v>146</v>
      </c>
      <c r="D12" s="5" t="s">
        <v>96</v>
      </c>
      <c r="E12" s="6" t="n">
        <v>2893</v>
      </c>
      <c r="F12" s="5" t="s">
        <v>97</v>
      </c>
      <c r="G12" s="5" t="n">
        <v>2026</v>
      </c>
      <c r="H12" s="5" t="s">
        <v>111</v>
      </c>
      <c r="I12" s="7" t="n">
        <v>46168</v>
      </c>
      <c r="J12" s="7" t="n">
        <v>46260</v>
      </c>
      <c r="K12" s="5" t="str">
        <f aca="true">IF(J12="","",IF(J12&gt;=TODAY(),"Vigente","Encerrado"))</f>
        <v>Encerrado</v>
      </c>
      <c r="L12" s="8" t="n">
        <f aca="false">IF(OR(I12="",J12=""),"",ROUND((J12-I12)/30.44,1))</f>
        <v>3</v>
      </c>
      <c r="M12" s="9" t="n">
        <v>27000</v>
      </c>
      <c r="N12" s="9" t="n">
        <f aca="false">IF(OR(L12="",L12=0,M12=""),"",M12/L12)</f>
        <v>9000</v>
      </c>
      <c r="O12" s="10" t="n">
        <f aca="false">IF(OR(E12=0,N12=""),"",N12*12/E12)</f>
        <v>37.3314898029727</v>
      </c>
      <c r="P12" s="5" t="s">
        <v>124</v>
      </c>
      <c r="Q12" s="5" t="s">
        <v>100</v>
      </c>
      <c r="R12" s="5" t="s">
        <v>147</v>
      </c>
      <c r="S12" s="5" t="s">
        <v>148</v>
      </c>
    </row>
    <row r="13" customFormat="false" ht="15" hidden="false" customHeight="false" outlineLevel="0" collapsed="false">
      <c r="A13" s="11" t="s">
        <v>149</v>
      </c>
      <c r="B13" s="11" t="s">
        <v>94</v>
      </c>
      <c r="C13" s="11" t="s">
        <v>150</v>
      </c>
      <c r="D13" s="11" t="s">
        <v>137</v>
      </c>
      <c r="E13" s="12" t="n">
        <v>10609</v>
      </c>
      <c r="F13" s="11" t="s">
        <v>97</v>
      </c>
      <c r="G13" s="11" t="n">
        <v>2026</v>
      </c>
      <c r="H13" s="11" t="s">
        <v>111</v>
      </c>
      <c r="I13" s="13" t="n">
        <v>46034</v>
      </c>
      <c r="J13" s="13" t="n">
        <v>46399</v>
      </c>
      <c r="K13" s="11" t="str">
        <f aca="true">IF(J13="","",IF(J13&gt;=TODAY(),"Vigente","Encerrado"))</f>
        <v>Vigente</v>
      </c>
      <c r="L13" s="14" t="n">
        <f aca="false">IF(OR(I13="",J13=""),"",ROUND((J13-I13)/30.44,1))</f>
        <v>12</v>
      </c>
      <c r="M13" s="15" t="n">
        <v>19200</v>
      </c>
      <c r="N13" s="15" t="n">
        <f aca="false">IF(OR(L13="",L13=0,M13=""),"",M13/L13)</f>
        <v>1600</v>
      </c>
      <c r="O13" s="16" t="n">
        <f aca="false">IF(OR(E13=0,N13=""),"",N13*12/E13)</f>
        <v>1.80978414553681</v>
      </c>
      <c r="P13" s="11" t="s">
        <v>124</v>
      </c>
      <c r="Q13" s="11" t="s">
        <v>100</v>
      </c>
      <c r="R13" s="17" t="s">
        <v>151</v>
      </c>
      <c r="S13" s="11" t="s">
        <v>152</v>
      </c>
    </row>
    <row r="14" customFormat="false" ht="15" hidden="false" customHeight="false" outlineLevel="0" collapsed="false">
      <c r="A14" s="5" t="s">
        <v>153</v>
      </c>
      <c r="B14" s="5" t="s">
        <v>94</v>
      </c>
      <c r="C14" s="5" t="s">
        <v>150</v>
      </c>
      <c r="D14" s="5" t="s">
        <v>137</v>
      </c>
      <c r="E14" s="6" t="n">
        <v>10609</v>
      </c>
      <c r="F14" s="5" t="s">
        <v>97</v>
      </c>
      <c r="G14" s="5" t="n">
        <v>2026</v>
      </c>
      <c r="H14" s="5" t="s">
        <v>111</v>
      </c>
      <c r="I14" s="7" t="n">
        <v>46034</v>
      </c>
      <c r="J14" s="7" t="n">
        <v>46399</v>
      </c>
      <c r="K14" s="5" t="str">
        <f aca="true">IF(J14="","",IF(J14&gt;=TODAY(),"Vigente","Encerrado"))</f>
        <v>Vigente</v>
      </c>
      <c r="L14" s="8" t="n">
        <f aca="false">IF(OR(I14="",J14=""),"",ROUND((J14-I14)/30.44,1))</f>
        <v>12</v>
      </c>
      <c r="M14" s="9" t="n">
        <v>59000.04</v>
      </c>
      <c r="N14" s="9" t="n">
        <f aca="false">IF(OR(L14="",L14=0,M14=""),"",M14/L14)</f>
        <v>4916.67</v>
      </c>
      <c r="O14" s="10" t="n">
        <f aca="false">IF(OR(E14=0,N14=""),"",N14*12/E14)</f>
        <v>5.56131963427279</v>
      </c>
      <c r="P14" s="5" t="s">
        <v>124</v>
      </c>
      <c r="Q14" s="5" t="s">
        <v>100</v>
      </c>
      <c r="R14" s="18" t="s">
        <v>154</v>
      </c>
      <c r="S14" s="5" t="s">
        <v>155</v>
      </c>
    </row>
    <row r="15" customFormat="false" ht="15" hidden="false" customHeight="false" outlineLevel="0" collapsed="false">
      <c r="A15" s="11" t="s">
        <v>156</v>
      </c>
      <c r="B15" s="11" t="s">
        <v>94</v>
      </c>
      <c r="C15" s="11" t="s">
        <v>157</v>
      </c>
      <c r="D15" s="11" t="s">
        <v>96</v>
      </c>
      <c r="E15" s="12" t="n">
        <v>20132</v>
      </c>
      <c r="F15" s="11" t="s">
        <v>105</v>
      </c>
      <c r="G15" s="11" t="n">
        <v>2026</v>
      </c>
      <c r="H15" s="11" t="s">
        <v>111</v>
      </c>
      <c r="I15" s="13" t="n">
        <v>46234</v>
      </c>
      <c r="J15" s="13" t="n">
        <v>46387</v>
      </c>
      <c r="K15" s="11" t="str">
        <f aca="true">IF(J15="","",IF(J15&gt;=TODAY(),"Vigente","Encerrado"))</f>
        <v>Vigente</v>
      </c>
      <c r="L15" s="14" t="n">
        <f aca="false">IF(OR(I15="",J15=""),"",ROUND((J15-I15)/30.44,1))</f>
        <v>5</v>
      </c>
      <c r="M15" s="15" t="n">
        <v>6000</v>
      </c>
      <c r="N15" s="15" t="n">
        <f aca="false">IF(OR(L15="",L15=0,M15=""),"",M15/L15)</f>
        <v>1200</v>
      </c>
      <c r="O15" s="16" t="n">
        <f aca="false">IF(OR(E15=0,N15=""),"",N15*12/E15)</f>
        <v>0.715279157560103</v>
      </c>
      <c r="P15" s="11" t="s">
        <v>124</v>
      </c>
      <c r="Q15" s="11" t="s">
        <v>100</v>
      </c>
      <c r="R15" s="11" t="s">
        <v>158</v>
      </c>
      <c r="S15" s="11" t="s">
        <v>159</v>
      </c>
    </row>
    <row r="16" customFormat="false" ht="15" hidden="false" customHeight="false" outlineLevel="0" collapsed="false">
      <c r="A16" s="5" t="s">
        <v>160</v>
      </c>
      <c r="B16" s="5" t="s">
        <v>94</v>
      </c>
      <c r="C16" s="5" t="s">
        <v>157</v>
      </c>
      <c r="D16" s="5" t="s">
        <v>96</v>
      </c>
      <c r="E16" s="6" t="n">
        <v>20132</v>
      </c>
      <c r="F16" s="5" t="s">
        <v>105</v>
      </c>
      <c r="G16" s="5" t="n">
        <v>2025</v>
      </c>
      <c r="H16" s="5" t="s">
        <v>106</v>
      </c>
      <c r="I16" s="7" t="n">
        <v>45840</v>
      </c>
      <c r="J16" s="7" t="n">
        <v>46205</v>
      </c>
      <c r="K16" s="5" t="str">
        <f aca="true">IF(J16="","",IF(J16&gt;=TODAY(),"Vigente","Encerrado"))</f>
        <v>Encerrado</v>
      </c>
      <c r="L16" s="8" t="n">
        <f aca="false">IF(OR(I16="",J16=""),"",ROUND((J16-I16)/30.44,1))</f>
        <v>12</v>
      </c>
      <c r="M16" s="9" t="n">
        <v>49422.48</v>
      </c>
      <c r="N16" s="9" t="n">
        <f aca="false">IF(OR(L16="",L16=0,M16=""),"",M16/L16)</f>
        <v>4118.54</v>
      </c>
      <c r="O16" s="10" t="n">
        <f aca="false">IF(OR(E16=0,N16=""),"",N16*12/E16)</f>
        <v>2.45492151798132</v>
      </c>
      <c r="P16" s="5" t="s">
        <v>124</v>
      </c>
      <c r="Q16" s="5" t="s">
        <v>100</v>
      </c>
      <c r="R16" s="5" t="s">
        <v>161</v>
      </c>
      <c r="S16" s="5" t="s">
        <v>162</v>
      </c>
    </row>
    <row r="17" customFormat="false" ht="15" hidden="false" customHeight="false" outlineLevel="0" collapsed="false">
      <c r="A17" s="11" t="s">
        <v>160</v>
      </c>
      <c r="B17" s="11" t="s">
        <v>94</v>
      </c>
      <c r="C17" s="11" t="s">
        <v>157</v>
      </c>
      <c r="D17" s="11" t="s">
        <v>96</v>
      </c>
      <c r="E17" s="12" t="n">
        <v>20132</v>
      </c>
      <c r="F17" s="11" t="s">
        <v>105</v>
      </c>
      <c r="G17" s="11" t="n">
        <v>2025</v>
      </c>
      <c r="H17" s="11" t="s">
        <v>106</v>
      </c>
      <c r="I17" s="13" t="n">
        <v>45840</v>
      </c>
      <c r="J17" s="13" t="n">
        <v>46205</v>
      </c>
      <c r="K17" s="11" t="str">
        <f aca="true">IF(J17="","",IF(J17&gt;=TODAY(),"Vigente","Encerrado"))</f>
        <v>Encerrado</v>
      </c>
      <c r="L17" s="14" t="n">
        <f aca="false">IF(OR(I17="",J17=""),"",ROUND((J17-I17)/30.44,1))</f>
        <v>12</v>
      </c>
      <c r="M17" s="15" t="n">
        <v>143160</v>
      </c>
      <c r="N17" s="15" t="n">
        <f aca="false">IF(OR(L17="",L17=0,M17=""),"",M17/L17)</f>
        <v>11930</v>
      </c>
      <c r="O17" s="16" t="n">
        <f aca="false">IF(OR(E17=0,N17=""),"",N17*12/E17)</f>
        <v>7.11106695807669</v>
      </c>
      <c r="P17" s="11" t="s">
        <v>124</v>
      </c>
      <c r="Q17" s="11" t="s">
        <v>100</v>
      </c>
      <c r="R17" s="11" t="s">
        <v>163</v>
      </c>
      <c r="S17" s="11" t="s">
        <v>164</v>
      </c>
    </row>
    <row r="18" customFormat="false" ht="15" hidden="false" customHeight="false" outlineLevel="0" collapsed="false">
      <c r="A18" s="5" t="s">
        <v>165</v>
      </c>
      <c r="B18" s="5" t="s">
        <v>94</v>
      </c>
      <c r="C18" s="5" t="s">
        <v>166</v>
      </c>
      <c r="D18" s="5" t="s">
        <v>96</v>
      </c>
      <c r="E18" s="6" t="n">
        <v>1984</v>
      </c>
      <c r="F18" s="5" t="s">
        <v>97</v>
      </c>
      <c r="G18" s="5" t="n">
        <v>2025</v>
      </c>
      <c r="H18" s="5" t="s">
        <v>98</v>
      </c>
      <c r="I18" s="7" t="n">
        <v>45730</v>
      </c>
      <c r="J18" s="7" t="n">
        <v>46095</v>
      </c>
      <c r="K18" s="5" t="str">
        <f aca="true">IF(J18="","",IF(J18&gt;=TODAY(),"Vigente","Encerrado"))</f>
        <v>Encerrado</v>
      </c>
      <c r="L18" s="8" t="n">
        <f aca="false">IF(OR(I18="",J18=""),"",ROUND((J18-I18)/30.44,1))</f>
        <v>12</v>
      </c>
      <c r="M18" s="9" t="n">
        <v>100800</v>
      </c>
      <c r="N18" s="9" t="n">
        <f aca="false">IF(OR(L18="",L18=0,M18=""),"",M18/L18)</f>
        <v>8400</v>
      </c>
      <c r="O18" s="10" t="n">
        <f aca="false">IF(OR(E18=0,N18=""),"",N18*12/E18)</f>
        <v>50.8064516129032</v>
      </c>
      <c r="P18" s="5" t="s">
        <v>167</v>
      </c>
      <c r="Q18" s="5" t="s">
        <v>100</v>
      </c>
      <c r="R18" s="5" t="s">
        <v>168</v>
      </c>
      <c r="S18" s="5" t="s">
        <v>169</v>
      </c>
    </row>
    <row r="19" customFormat="false" ht="15" hidden="false" customHeight="false" outlineLevel="0" collapsed="false">
      <c r="A19" s="11" t="s">
        <v>170</v>
      </c>
      <c r="B19" s="11" t="s">
        <v>94</v>
      </c>
      <c r="C19" s="11" t="s">
        <v>171</v>
      </c>
      <c r="D19" s="11" t="s">
        <v>96</v>
      </c>
      <c r="E19" s="12" t="n">
        <v>8597</v>
      </c>
      <c r="F19" s="11" t="s">
        <v>97</v>
      </c>
      <c r="G19" s="11" t="n">
        <v>2025</v>
      </c>
      <c r="H19" s="11" t="s">
        <v>98</v>
      </c>
      <c r="I19" s="13" t="n">
        <v>45846</v>
      </c>
      <c r="J19" s="13" t="n">
        <v>46211</v>
      </c>
      <c r="K19" s="11" t="str">
        <f aca="true">IF(J19="","",IF(J19&gt;=TODAY(),"Vigente","Encerrado"))</f>
        <v>Encerrado</v>
      </c>
      <c r="L19" s="14" t="n">
        <f aca="false">IF(OR(I19="",J19=""),"",ROUND((J19-I19)/30.44,1))</f>
        <v>12</v>
      </c>
      <c r="M19" s="15" t="n">
        <v>103200</v>
      </c>
      <c r="N19" s="15" t="n">
        <f aca="false">IF(OR(L19="",L19=0,M19=""),"",M19/L19)</f>
        <v>8600</v>
      </c>
      <c r="O19" s="16" t="n">
        <f aca="false">IF(OR(E19=0,N19=""),"",N19*12/E19)</f>
        <v>12.00418750727</v>
      </c>
      <c r="P19" s="11" t="s">
        <v>167</v>
      </c>
      <c r="Q19" s="11" t="s">
        <v>100</v>
      </c>
      <c r="R19" s="11" t="s">
        <v>172</v>
      </c>
      <c r="S19" s="11" t="s">
        <v>173</v>
      </c>
    </row>
    <row r="20" customFormat="false" ht="15" hidden="false" customHeight="false" outlineLevel="0" collapsed="false">
      <c r="A20" s="5" t="s">
        <v>174</v>
      </c>
      <c r="B20" s="5" t="s">
        <v>94</v>
      </c>
      <c r="C20" s="5" t="s">
        <v>175</v>
      </c>
      <c r="D20" s="5" t="s">
        <v>96</v>
      </c>
      <c r="E20" s="6" t="n">
        <v>18604</v>
      </c>
      <c r="F20" s="5" t="s">
        <v>97</v>
      </c>
      <c r="G20" s="5" t="n">
        <v>2025</v>
      </c>
      <c r="H20" s="5" t="s">
        <v>98</v>
      </c>
      <c r="I20" s="7" t="n">
        <v>46010</v>
      </c>
      <c r="J20" s="7" t="n">
        <v>46395</v>
      </c>
      <c r="K20" s="5" t="str">
        <f aca="true">IF(J20="","",IF(J20&gt;=TODAY(),"Vigente","Encerrado"))</f>
        <v>Vigente</v>
      </c>
      <c r="L20" s="8" t="n">
        <f aca="false">IF(OR(I20="",J20=""),"",ROUND((J20-I20)/30.44,1))</f>
        <v>12.6</v>
      </c>
      <c r="M20" s="9" t="n">
        <v>164400</v>
      </c>
      <c r="N20" s="9" t="n">
        <f aca="false">IF(OR(L20="",L20=0,M20=""),"",M20/L20)</f>
        <v>13047.619047619</v>
      </c>
      <c r="O20" s="10" t="n">
        <f aca="false">IF(OR(E20=0,N20=""),"",N20*12/E20)</f>
        <v>8.4160088460239</v>
      </c>
      <c r="P20" s="5" t="s">
        <v>167</v>
      </c>
      <c r="Q20" s="5" t="s">
        <v>100</v>
      </c>
      <c r="R20" s="5" t="s">
        <v>176</v>
      </c>
      <c r="S20" s="5" t="s">
        <v>177</v>
      </c>
    </row>
    <row r="21" customFormat="false" ht="15" hidden="false" customHeight="false" outlineLevel="0" collapsed="false">
      <c r="A21" s="11" t="s">
        <v>178</v>
      </c>
      <c r="B21" s="11" t="s">
        <v>94</v>
      </c>
      <c r="C21" s="11" t="s">
        <v>179</v>
      </c>
      <c r="D21" s="11" t="s">
        <v>96</v>
      </c>
      <c r="E21" s="12" t="n">
        <v>3842</v>
      </c>
      <c r="F21" s="11" t="s">
        <v>97</v>
      </c>
      <c r="G21" s="11" t="n">
        <v>2024</v>
      </c>
      <c r="H21" s="11" t="s">
        <v>111</v>
      </c>
      <c r="I21" s="13" t="n">
        <v>45341</v>
      </c>
      <c r="J21" s="13" t="n">
        <v>45657</v>
      </c>
      <c r="K21" s="11" t="str">
        <f aca="true">IF(J21="","",IF(J21&gt;=TODAY(),"Vigente","Encerrado"))</f>
        <v>Encerrado</v>
      </c>
      <c r="L21" s="14" t="n">
        <f aca="false">IF(OR(I21="",J21=""),"",ROUND((J21-I21)/30.44,1))</f>
        <v>10.4</v>
      </c>
      <c r="M21" s="15" t="n">
        <v>19206</v>
      </c>
      <c r="N21" s="15" t="n">
        <f aca="false">IF(OR(L21="",L21=0,M21=""),"",M21/L21)</f>
        <v>1846.73076923077</v>
      </c>
      <c r="O21" s="16" t="n">
        <f aca="false">IF(OR(E21=0,N21=""),"",N21*12/E21)</f>
        <v>5.76802947182958</v>
      </c>
      <c r="P21" s="11" t="s">
        <v>167</v>
      </c>
      <c r="Q21" s="11" t="s">
        <v>100</v>
      </c>
      <c r="R21" s="11" t="s">
        <v>180</v>
      </c>
      <c r="S21" s="11" t="s">
        <v>181</v>
      </c>
    </row>
    <row r="22" customFormat="false" ht="15" hidden="false" customHeight="false" outlineLevel="0" collapsed="false">
      <c r="A22" s="5" t="s">
        <v>182</v>
      </c>
      <c r="B22" s="5" t="s">
        <v>94</v>
      </c>
      <c r="C22" s="5" t="s">
        <v>104</v>
      </c>
      <c r="D22" s="5" t="s">
        <v>96</v>
      </c>
      <c r="E22" s="6" t="n">
        <v>36583</v>
      </c>
      <c r="F22" s="5" t="s">
        <v>105</v>
      </c>
      <c r="G22" s="5" t="n">
        <v>2024</v>
      </c>
      <c r="H22" s="5" t="s">
        <v>111</v>
      </c>
      <c r="I22" s="7" t="n">
        <v>45426</v>
      </c>
      <c r="J22" s="7" t="n">
        <v>45791</v>
      </c>
      <c r="K22" s="5" t="str">
        <f aca="true">IF(J22="","",IF(J22&gt;=TODAY(),"Vigente","Encerrado"))</f>
        <v>Encerrado</v>
      </c>
      <c r="L22" s="8" t="n">
        <f aca="false">IF(OR(I22="",J22=""),"",ROUND((J22-I22)/30.44,1))</f>
        <v>12</v>
      </c>
      <c r="M22" s="9" t="n">
        <v>12000</v>
      </c>
      <c r="N22" s="9" t="n">
        <f aca="false">IF(OR(L22="",L22=0,M22=""),"",M22/L22)</f>
        <v>1000</v>
      </c>
      <c r="O22" s="10" t="n">
        <f aca="false">IF(OR(E22=0,N22=""),"",N22*12/E22)</f>
        <v>0.328021212038379</v>
      </c>
      <c r="P22" s="5" t="s">
        <v>167</v>
      </c>
      <c r="Q22" s="5" t="s">
        <v>100</v>
      </c>
      <c r="R22" s="5" t="s">
        <v>183</v>
      </c>
      <c r="S22" s="5" t="s">
        <v>184</v>
      </c>
    </row>
    <row r="23" customFormat="false" ht="15" hidden="false" customHeight="false" outlineLevel="0" collapsed="false">
      <c r="A23" s="11" t="s">
        <v>185</v>
      </c>
      <c r="B23" s="11" t="s">
        <v>94</v>
      </c>
      <c r="C23" s="11" t="s">
        <v>186</v>
      </c>
      <c r="D23" s="11" t="s">
        <v>96</v>
      </c>
      <c r="E23" s="12" t="n">
        <v>10828</v>
      </c>
      <c r="F23" s="11" t="s">
        <v>97</v>
      </c>
      <c r="G23" s="11" t="n">
        <v>2026</v>
      </c>
      <c r="H23" s="11" t="s">
        <v>98</v>
      </c>
      <c r="I23" s="13" t="n">
        <v>46113</v>
      </c>
      <c r="J23" s="13" t="n">
        <v>46477</v>
      </c>
      <c r="K23" s="11" t="str">
        <f aca="true">IF(J23="","",IF(J23&gt;=TODAY(),"Vigente","Encerrado"))</f>
        <v>Vigente</v>
      </c>
      <c r="L23" s="14" t="n">
        <f aca="false">IF(OR(I23="",J23=""),"",ROUND((J23-I23)/30.44,1))</f>
        <v>12</v>
      </c>
      <c r="M23" s="15" t="n">
        <v>122400</v>
      </c>
      <c r="N23" s="15" t="n">
        <f aca="false">IF(OR(L23="",L23=0,M23=""),"",M23/L23)</f>
        <v>10200</v>
      </c>
      <c r="O23" s="16" t="n">
        <f aca="false">IF(OR(E23=0,N23=""),"",N23*12/E23)</f>
        <v>11.3040265977096</v>
      </c>
      <c r="P23" s="11" t="s">
        <v>167</v>
      </c>
      <c r="Q23" s="11" t="s">
        <v>100</v>
      </c>
      <c r="R23" s="11" t="s">
        <v>187</v>
      </c>
      <c r="S23" s="11" t="s">
        <v>188</v>
      </c>
    </row>
    <row r="24" customFormat="false" ht="15" hidden="false" customHeight="false" outlineLevel="0" collapsed="false">
      <c r="A24" s="5" t="s">
        <v>189</v>
      </c>
      <c r="B24" s="5" t="s">
        <v>94</v>
      </c>
      <c r="C24" s="5" t="s">
        <v>190</v>
      </c>
      <c r="D24" s="5" t="s">
        <v>96</v>
      </c>
      <c r="E24" s="6" t="n">
        <v>3306</v>
      </c>
      <c r="F24" s="5" t="s">
        <v>97</v>
      </c>
      <c r="G24" s="5" t="n">
        <v>2024</v>
      </c>
      <c r="H24" s="5" t="s">
        <v>111</v>
      </c>
      <c r="I24" s="7" t="n">
        <v>45350</v>
      </c>
      <c r="J24" s="7" t="n">
        <v>45657</v>
      </c>
      <c r="K24" s="5" t="str">
        <f aca="true">IF(J24="","",IF(J24&gt;=TODAY(),"Vigente","Encerrado"))</f>
        <v>Encerrado</v>
      </c>
      <c r="L24" s="8" t="n">
        <f aca="false">IF(OR(I24="",J24=""),"",ROUND((J24-I24)/30.44,1))</f>
        <v>10.1</v>
      </c>
      <c r="M24" s="9" t="n">
        <v>21900</v>
      </c>
      <c r="N24" s="9" t="n">
        <f aca="false">IF(OR(L24="",L24=0,M24=""),"",M24/L24)</f>
        <v>2168.31683168317</v>
      </c>
      <c r="O24" s="10" t="n">
        <f aca="false">IF(OR(E24=0,N24=""),"",N24*12/E24)</f>
        <v>7.87047851790624</v>
      </c>
      <c r="P24" s="5" t="s">
        <v>167</v>
      </c>
      <c r="Q24" s="5" t="s">
        <v>100</v>
      </c>
      <c r="R24" s="5" t="s">
        <v>191</v>
      </c>
      <c r="S24" s="5" t="s">
        <v>192</v>
      </c>
    </row>
    <row r="25" customFormat="false" ht="15" hidden="false" customHeight="false" outlineLevel="0" collapsed="false">
      <c r="A25" s="11" t="s">
        <v>193</v>
      </c>
      <c r="B25" s="11" t="s">
        <v>94</v>
      </c>
      <c r="C25" s="11" t="s">
        <v>194</v>
      </c>
      <c r="D25" s="11" t="s">
        <v>137</v>
      </c>
      <c r="E25" s="12" t="n">
        <v>4796</v>
      </c>
      <c r="F25" s="11" t="s">
        <v>97</v>
      </c>
      <c r="G25" s="11" t="n">
        <v>2025</v>
      </c>
      <c r="H25" s="11" t="s">
        <v>106</v>
      </c>
      <c r="I25" s="13" t="n">
        <v>45862</v>
      </c>
      <c r="J25" s="13" t="n">
        <v>46227</v>
      </c>
      <c r="K25" s="11" t="str">
        <f aca="true">IF(J25="","",IF(J25&gt;=TODAY(),"Vigente","Encerrado"))</f>
        <v>Encerrado</v>
      </c>
      <c r="L25" s="14" t="n">
        <f aca="false">IF(OR(I25="",J25=""),"",ROUND((J25-I25)/30.44,1))</f>
        <v>12</v>
      </c>
      <c r="M25" s="15" t="n">
        <v>108000</v>
      </c>
      <c r="N25" s="15" t="n">
        <f aca="false">IF(OR(L25="",L25=0,M25=""),"",M25/L25)</f>
        <v>9000</v>
      </c>
      <c r="O25" s="16" t="n">
        <f aca="false">IF(OR(E25=0,N25=""),"",N25*12/E25)</f>
        <v>22.5187656380317</v>
      </c>
      <c r="P25" s="11" t="s">
        <v>195</v>
      </c>
      <c r="Q25" s="11" t="s">
        <v>100</v>
      </c>
      <c r="R25" s="11" t="s">
        <v>196</v>
      </c>
      <c r="S25" s="11" t="s">
        <v>197</v>
      </c>
    </row>
    <row r="26" customFormat="false" ht="15" hidden="false" customHeight="false" outlineLevel="0" collapsed="false">
      <c r="A26" s="5" t="s">
        <v>198</v>
      </c>
      <c r="B26" s="5" t="s">
        <v>94</v>
      </c>
      <c r="C26" s="5" t="s">
        <v>199</v>
      </c>
      <c r="D26" s="5" t="s">
        <v>96</v>
      </c>
      <c r="E26" s="6" t="n">
        <v>5788</v>
      </c>
      <c r="F26" s="5" t="s">
        <v>97</v>
      </c>
      <c r="G26" s="5" t="n">
        <v>2023</v>
      </c>
      <c r="H26" s="5" t="s">
        <v>111</v>
      </c>
      <c r="I26" s="7" t="n">
        <v>44995</v>
      </c>
      <c r="J26" s="7" t="n">
        <v>45361</v>
      </c>
      <c r="K26" s="5" t="str">
        <f aca="true">IF(J26="","",IF(J26&gt;=TODAY(),"Vigente","Encerrado"))</f>
        <v>Encerrado</v>
      </c>
      <c r="L26" s="8" t="n">
        <f aca="false">IF(OR(I26="",J26=""),"",ROUND((J26-I26)/30.44,1))</f>
        <v>12</v>
      </c>
      <c r="M26" s="9" t="n">
        <v>23280</v>
      </c>
      <c r="N26" s="9" t="n">
        <f aca="false">IF(OR(L26="",L26=0,M26=""),"",M26/L26)</f>
        <v>1940</v>
      </c>
      <c r="O26" s="10" t="n">
        <f aca="false">IF(OR(E26=0,N26=""),"",N26*12/E26)</f>
        <v>4.02211472011057</v>
      </c>
      <c r="P26" s="5" t="s">
        <v>167</v>
      </c>
      <c r="Q26" s="5" t="s">
        <v>100</v>
      </c>
      <c r="R26" s="5" t="s">
        <v>200</v>
      </c>
      <c r="S26" s="5" t="s">
        <v>201</v>
      </c>
    </row>
    <row r="27" customFormat="false" ht="15" hidden="false" customHeight="false" outlineLevel="0" collapsed="false">
      <c r="A27" s="11" t="s">
        <v>202</v>
      </c>
      <c r="B27" s="11" t="s">
        <v>94</v>
      </c>
      <c r="C27" s="11" t="s">
        <v>203</v>
      </c>
      <c r="D27" s="11" t="s">
        <v>96</v>
      </c>
      <c r="E27" s="12" t="n">
        <v>2789</v>
      </c>
      <c r="F27" s="11" t="s">
        <v>97</v>
      </c>
      <c r="G27" s="11" t="n">
        <v>2025</v>
      </c>
      <c r="H27" s="11" t="s">
        <v>106</v>
      </c>
      <c r="I27" s="13" t="n">
        <v>45790</v>
      </c>
      <c r="J27" s="13" t="n">
        <v>46022</v>
      </c>
      <c r="K27" s="11" t="str">
        <f aca="true">IF(J27="","",IF(J27&gt;=TODAY(),"Vigente","Encerrado"))</f>
        <v>Encerrado</v>
      </c>
      <c r="L27" s="14" t="n">
        <f aca="false">IF(OR(I27="",J27=""),"",ROUND((J27-I27)/30.44,1))</f>
        <v>7.6</v>
      </c>
      <c r="M27" s="15" t="n">
        <v>102000</v>
      </c>
      <c r="N27" s="15" t="n">
        <f aca="false">IF(OR(L27="",L27=0,M27=""),"",M27/L27)</f>
        <v>13421.0526315789</v>
      </c>
      <c r="O27" s="16" t="n">
        <f aca="false">IF(OR(E27=0,N27=""),"",N27*12/E27)</f>
        <v>57.745654922534</v>
      </c>
      <c r="P27" s="11" t="s">
        <v>167</v>
      </c>
      <c r="Q27" s="11" t="s">
        <v>100</v>
      </c>
      <c r="R27" s="11" t="s">
        <v>204</v>
      </c>
      <c r="S27" s="11" t="s">
        <v>205</v>
      </c>
    </row>
    <row r="28" customFormat="false" ht="15" hidden="false" customHeight="false" outlineLevel="0" collapsed="false">
      <c r="A28" s="5" t="s">
        <v>206</v>
      </c>
      <c r="B28" s="5" t="s">
        <v>94</v>
      </c>
      <c r="C28" s="5" t="s">
        <v>207</v>
      </c>
      <c r="D28" s="5" t="s">
        <v>96</v>
      </c>
      <c r="E28" s="6" t="n">
        <v>8265</v>
      </c>
      <c r="F28" s="5" t="s">
        <v>97</v>
      </c>
      <c r="G28" s="5" t="n">
        <v>2026</v>
      </c>
      <c r="H28" s="5" t="s">
        <v>98</v>
      </c>
      <c r="I28" s="7" t="n">
        <v>46113</v>
      </c>
      <c r="J28" s="7" t="n">
        <v>46478</v>
      </c>
      <c r="K28" s="5" t="str">
        <f aca="true">IF(J28="","",IF(J28&gt;=TODAY(),"Vigente","Encerrado"))</f>
        <v>Vigente</v>
      </c>
      <c r="L28" s="8" t="n">
        <f aca="false">IF(OR(I28="",J28=""),"",ROUND((J28-I28)/30.44,1))</f>
        <v>12</v>
      </c>
      <c r="M28" s="9" t="n">
        <v>108000</v>
      </c>
      <c r="N28" s="9" t="n">
        <f aca="false">IF(OR(L28="",L28=0,M28=""),"",M28/L28)</f>
        <v>9000</v>
      </c>
      <c r="O28" s="10" t="n">
        <f aca="false">IF(OR(E28=0,N28=""),"",N28*12/E28)</f>
        <v>13.0671506352087</v>
      </c>
      <c r="P28" s="5" t="s">
        <v>167</v>
      </c>
      <c r="Q28" s="5" t="s">
        <v>100</v>
      </c>
      <c r="R28" s="5" t="s">
        <v>208</v>
      </c>
      <c r="S28" s="5" t="s">
        <v>209</v>
      </c>
    </row>
    <row r="29" customFormat="false" ht="15" hidden="false" customHeight="false" outlineLevel="0" collapsed="false">
      <c r="A29" s="11" t="s">
        <v>109</v>
      </c>
      <c r="B29" s="11" t="s">
        <v>94</v>
      </c>
      <c r="C29" s="11" t="s">
        <v>207</v>
      </c>
      <c r="D29" s="11" t="s">
        <v>96</v>
      </c>
      <c r="E29" s="12" t="n">
        <v>8265</v>
      </c>
      <c r="F29" s="11" t="s">
        <v>97</v>
      </c>
      <c r="G29" s="11" t="n">
        <v>2026</v>
      </c>
      <c r="H29" s="11" t="s">
        <v>111</v>
      </c>
      <c r="I29" s="13" t="n">
        <v>46036</v>
      </c>
      <c r="J29" s="13" t="n">
        <v>46387</v>
      </c>
      <c r="K29" s="11" t="str">
        <f aca="true">IF(J29="","",IF(J29&gt;=TODAY(),"Vigente","Encerrado"))</f>
        <v>Vigente</v>
      </c>
      <c r="L29" s="14" t="n">
        <f aca="false">IF(OR(I29="",J29=""),"",ROUND((J29-I29)/30.44,1))</f>
        <v>11.5</v>
      </c>
      <c r="M29" s="15" t="n">
        <v>25200</v>
      </c>
      <c r="N29" s="15" t="n">
        <f aca="false">IF(OR(L29="",L29=0,M29=""),"",M29/L29)</f>
        <v>2191.30434782609</v>
      </c>
      <c r="O29" s="16" t="n">
        <f aca="false">IF(OR(E29=0,N29=""),"",N29*12/E29)</f>
        <v>3.18156711118125</v>
      </c>
      <c r="P29" s="11" t="s">
        <v>167</v>
      </c>
      <c r="Q29" s="11" t="s">
        <v>100</v>
      </c>
      <c r="R29" s="11" t="s">
        <v>210</v>
      </c>
      <c r="S29" s="11" t="s">
        <v>211</v>
      </c>
    </row>
    <row r="30" customFormat="false" ht="15" hidden="false" customHeight="false" outlineLevel="0" collapsed="false">
      <c r="A30" s="5" t="s">
        <v>109</v>
      </c>
      <c r="B30" s="5" t="s">
        <v>94</v>
      </c>
      <c r="C30" s="5" t="s">
        <v>207</v>
      </c>
      <c r="D30" s="5" t="s">
        <v>96</v>
      </c>
      <c r="E30" s="6" t="n">
        <v>8265</v>
      </c>
      <c r="F30" s="5" t="s">
        <v>97</v>
      </c>
      <c r="G30" s="5" t="n">
        <v>2025</v>
      </c>
      <c r="H30" s="5" t="s">
        <v>111</v>
      </c>
      <c r="I30" s="7" t="n">
        <v>45706</v>
      </c>
      <c r="J30" s="7" t="n">
        <v>46022</v>
      </c>
      <c r="K30" s="5" t="str">
        <f aca="true">IF(J30="","",IF(J30&gt;=TODAY(),"Vigente","Encerrado"))</f>
        <v>Encerrado</v>
      </c>
      <c r="L30" s="8" t="n">
        <f aca="false">IF(OR(I30="",J30=""),"",ROUND((J30-I30)/30.44,1))</f>
        <v>10.4</v>
      </c>
      <c r="M30" s="9" t="n">
        <v>22803</v>
      </c>
      <c r="N30" s="9" t="n">
        <f aca="false">IF(OR(L30="",L30=0,M30=""),"",M30/L30)</f>
        <v>2192.59615384615</v>
      </c>
      <c r="O30" s="10" t="n">
        <f aca="false">IF(OR(E30=0,N30=""),"",N30*12/E30)</f>
        <v>3.18344269160966</v>
      </c>
      <c r="P30" s="5" t="s">
        <v>167</v>
      </c>
      <c r="Q30" s="5" t="s">
        <v>100</v>
      </c>
      <c r="R30" s="5" t="s">
        <v>210</v>
      </c>
      <c r="S30" s="5" t="s">
        <v>212</v>
      </c>
    </row>
    <row r="31" customFormat="false" ht="15" hidden="false" customHeight="false" outlineLevel="0" collapsed="false">
      <c r="A31" s="11" t="s">
        <v>206</v>
      </c>
      <c r="B31" s="11" t="s">
        <v>94</v>
      </c>
      <c r="C31" s="11" t="s">
        <v>207</v>
      </c>
      <c r="D31" s="11" t="s">
        <v>96</v>
      </c>
      <c r="E31" s="12" t="n">
        <v>8265</v>
      </c>
      <c r="F31" s="11" t="s">
        <v>97</v>
      </c>
      <c r="G31" s="11" t="n">
        <v>2024</v>
      </c>
      <c r="H31" s="11" t="s">
        <v>111</v>
      </c>
      <c r="I31" s="13" t="n">
        <v>45443</v>
      </c>
      <c r="J31" s="13" t="n">
        <v>45657</v>
      </c>
      <c r="K31" s="11" t="str">
        <f aca="true">IF(J31="","",IF(J31&gt;=TODAY(),"Vigente","Encerrado"))</f>
        <v>Encerrado</v>
      </c>
      <c r="L31" s="14" t="n">
        <f aca="false">IF(OR(I31="",J31=""),"",ROUND((J31-I31)/30.44,1))</f>
        <v>7</v>
      </c>
      <c r="M31" s="15" t="n">
        <v>13200</v>
      </c>
      <c r="N31" s="15" t="n">
        <f aca="false">IF(OR(L31="",L31=0,M31=""),"",M31/L31)</f>
        <v>1885.71428571429</v>
      </c>
      <c r="O31" s="16" t="n">
        <f aca="false">IF(OR(E31=0,N31=""),"",N31*12/E31)</f>
        <v>2.7378791807104</v>
      </c>
      <c r="P31" s="11" t="s">
        <v>167</v>
      </c>
      <c r="Q31" s="11" t="s">
        <v>100</v>
      </c>
      <c r="R31" s="11" t="s">
        <v>213</v>
      </c>
      <c r="S31" s="11" t="s">
        <v>214</v>
      </c>
    </row>
    <row r="32" customFormat="false" ht="15" hidden="false" customHeight="false" outlineLevel="0" collapsed="false">
      <c r="A32" s="5" t="s">
        <v>215</v>
      </c>
      <c r="B32" s="5" t="s">
        <v>94</v>
      </c>
      <c r="C32" s="5" t="s">
        <v>216</v>
      </c>
      <c r="D32" s="5" t="s">
        <v>96</v>
      </c>
      <c r="E32" s="6" t="n">
        <v>26638</v>
      </c>
      <c r="F32" s="5" t="s">
        <v>105</v>
      </c>
      <c r="G32" s="5" t="n">
        <v>2025</v>
      </c>
      <c r="H32" s="5" t="s">
        <v>106</v>
      </c>
      <c r="I32" s="7" t="n">
        <v>45751</v>
      </c>
      <c r="J32" s="7" t="n">
        <v>46022</v>
      </c>
      <c r="K32" s="5" t="str">
        <f aca="true">IF(J32="","",IF(J32&gt;=TODAY(),"Vigente","Encerrado"))</f>
        <v>Encerrado</v>
      </c>
      <c r="L32" s="8" t="n">
        <f aca="false">IF(OR(I32="",J32=""),"",ROUND((J32-I32)/30.44,1))</f>
        <v>8.9</v>
      </c>
      <c r="M32" s="9" t="n">
        <v>108000</v>
      </c>
      <c r="N32" s="9" t="n">
        <f aca="false">IF(OR(L32="",L32=0,M32=""),"",M32/L32)</f>
        <v>12134.8314606742</v>
      </c>
      <c r="O32" s="10" t="n">
        <f aca="false">IF(OR(E32=0,N32=""),"",N32*12/E32)</f>
        <v>5.46655069930512</v>
      </c>
      <c r="P32" s="5" t="s">
        <v>167</v>
      </c>
      <c r="Q32" s="5" t="s">
        <v>100</v>
      </c>
      <c r="R32" s="5" t="s">
        <v>217</v>
      </c>
      <c r="S32" s="5" t="s">
        <v>218</v>
      </c>
    </row>
    <row r="33" customFormat="false" ht="15" hidden="false" customHeight="false" outlineLevel="0" collapsed="false">
      <c r="A33" s="11" t="s">
        <v>219</v>
      </c>
      <c r="B33" s="11" t="s">
        <v>94</v>
      </c>
      <c r="C33" s="11" t="s">
        <v>220</v>
      </c>
      <c r="D33" s="11" t="s">
        <v>137</v>
      </c>
      <c r="E33" s="12" t="n">
        <v>35957</v>
      </c>
      <c r="F33" s="11" t="s">
        <v>105</v>
      </c>
      <c r="G33" s="11" t="n">
        <v>2026</v>
      </c>
      <c r="H33" s="11" t="s">
        <v>106</v>
      </c>
      <c r="I33" s="13" t="n">
        <v>46055</v>
      </c>
      <c r="J33" s="13" t="n">
        <v>46387</v>
      </c>
      <c r="K33" s="11" t="str">
        <f aca="true">IF(J33="","",IF(J33&gt;=TODAY(),"Vigente","Encerrado"))</f>
        <v>Vigente</v>
      </c>
      <c r="L33" s="14" t="n">
        <f aca="false">IF(OR(I33="",J33=""),"",ROUND((J33-I33)/30.44,1))</f>
        <v>10.9</v>
      </c>
      <c r="M33" s="15" t="n">
        <v>60269</v>
      </c>
      <c r="N33" s="15" t="n">
        <f aca="false">IF(OR(L33="",L33=0,M33=""),"",M33/L33)</f>
        <v>5529.26605504587</v>
      </c>
      <c r="O33" s="16" t="n">
        <f aca="false">IF(OR(E33=0,N33=""),"",N33*12/E33)</f>
        <v>1.84529278473039</v>
      </c>
      <c r="P33" s="11" t="s">
        <v>195</v>
      </c>
      <c r="Q33" s="11" t="s">
        <v>100</v>
      </c>
      <c r="R33" s="11" t="s">
        <v>221</v>
      </c>
      <c r="S33" s="11" t="s">
        <v>222</v>
      </c>
    </row>
    <row r="34" customFormat="false" ht="15" hidden="false" customHeight="false" outlineLevel="0" collapsed="false">
      <c r="A34" s="5" t="s">
        <v>219</v>
      </c>
      <c r="B34" s="5" t="s">
        <v>94</v>
      </c>
      <c r="C34" s="5" t="s">
        <v>220</v>
      </c>
      <c r="D34" s="5" t="s">
        <v>137</v>
      </c>
      <c r="E34" s="6" t="n">
        <v>35957</v>
      </c>
      <c r="F34" s="5" t="s">
        <v>105</v>
      </c>
      <c r="G34" s="5" t="n">
        <v>2026</v>
      </c>
      <c r="H34" s="5" t="s">
        <v>106</v>
      </c>
      <c r="I34" s="7" t="n">
        <v>46055</v>
      </c>
      <c r="J34" s="7" t="n">
        <v>46387</v>
      </c>
      <c r="K34" s="5" t="str">
        <f aca="true">IF(J34="","",IF(J34&gt;=TODAY(),"Vigente","Encerrado"))</f>
        <v>Vigente</v>
      </c>
      <c r="L34" s="8" t="n">
        <f aca="false">IF(OR(I34="",J34=""),"",ROUND((J34-I34)/30.44,1))</f>
        <v>10.9</v>
      </c>
      <c r="M34" s="9" t="n">
        <v>60269</v>
      </c>
      <c r="N34" s="9" t="n">
        <f aca="false">IF(OR(L34="",L34=0,M34=""),"",M34/L34)</f>
        <v>5529.26605504587</v>
      </c>
      <c r="O34" s="10" t="n">
        <f aca="false">IF(OR(E34=0,N34=""),"",N34*12/E34)</f>
        <v>1.84529278473039</v>
      </c>
      <c r="P34" s="5" t="s">
        <v>195</v>
      </c>
      <c r="Q34" s="5" t="s">
        <v>100</v>
      </c>
      <c r="R34" s="5" t="s">
        <v>223</v>
      </c>
      <c r="S34" s="5" t="s">
        <v>224</v>
      </c>
    </row>
    <row r="35" customFormat="false" ht="15" hidden="false" customHeight="false" outlineLevel="0" collapsed="false">
      <c r="A35" s="11" t="s">
        <v>219</v>
      </c>
      <c r="B35" s="11" t="s">
        <v>94</v>
      </c>
      <c r="C35" s="11" t="s">
        <v>220</v>
      </c>
      <c r="D35" s="11" t="s">
        <v>137</v>
      </c>
      <c r="E35" s="12" t="n">
        <v>35957</v>
      </c>
      <c r="F35" s="11" t="s">
        <v>105</v>
      </c>
      <c r="G35" s="11" t="n">
        <v>2026</v>
      </c>
      <c r="H35" s="11" t="s">
        <v>106</v>
      </c>
      <c r="I35" s="13" t="n">
        <v>46055</v>
      </c>
      <c r="J35" s="13" t="n">
        <v>46387</v>
      </c>
      <c r="K35" s="11" t="str">
        <f aca="true">IF(J35="","",IF(J35&gt;=TODAY(),"Vigente","Encerrado"))</f>
        <v>Vigente</v>
      </c>
      <c r="L35" s="14" t="n">
        <f aca="false">IF(OR(I35="",J35=""),"",ROUND((J35-I35)/30.44,1))</f>
        <v>10.9</v>
      </c>
      <c r="M35" s="15" t="n">
        <v>60269</v>
      </c>
      <c r="N35" s="15" t="n">
        <f aca="false">IF(OR(L35="",L35=0,M35=""),"",M35/L35)</f>
        <v>5529.26605504587</v>
      </c>
      <c r="O35" s="16" t="n">
        <f aca="false">IF(OR(E35=0,N35=""),"",N35*12/E35)</f>
        <v>1.84529278473039</v>
      </c>
      <c r="P35" s="11" t="s">
        <v>195</v>
      </c>
      <c r="Q35" s="11" t="s">
        <v>100</v>
      </c>
      <c r="R35" s="11" t="s">
        <v>225</v>
      </c>
      <c r="S35" s="11" t="s">
        <v>226</v>
      </c>
    </row>
    <row r="36" customFormat="false" ht="15" hidden="false" customHeight="false" outlineLevel="0" collapsed="false">
      <c r="A36" s="5" t="s">
        <v>219</v>
      </c>
      <c r="B36" s="5" t="s">
        <v>94</v>
      </c>
      <c r="C36" s="5" t="s">
        <v>220</v>
      </c>
      <c r="D36" s="5" t="s">
        <v>137</v>
      </c>
      <c r="E36" s="6" t="n">
        <v>35957</v>
      </c>
      <c r="F36" s="5" t="s">
        <v>105</v>
      </c>
      <c r="G36" s="5" t="n">
        <v>2026</v>
      </c>
      <c r="H36" s="5" t="s">
        <v>106</v>
      </c>
      <c r="I36" s="7" t="n">
        <v>46055</v>
      </c>
      <c r="J36" s="7" t="n">
        <v>46387</v>
      </c>
      <c r="K36" s="5" t="str">
        <f aca="true">IF(J36="","",IF(J36&gt;=TODAY(),"Vigente","Encerrado"))</f>
        <v>Vigente</v>
      </c>
      <c r="L36" s="8" t="n">
        <f aca="false">IF(OR(I36="",J36=""),"",ROUND((J36-I36)/30.44,1))</f>
        <v>10.9</v>
      </c>
      <c r="M36" s="9" t="n">
        <v>60276.26</v>
      </c>
      <c r="N36" s="9" t="n">
        <f aca="false">IF(OR(L36="",L36=0,M36=""),"",M36/L36)</f>
        <v>5529.93211009174</v>
      </c>
      <c r="O36" s="10" t="n">
        <f aca="false">IF(OR(E36=0,N36=""),"",N36*12/E36)</f>
        <v>1.84551506858472</v>
      </c>
      <c r="P36" s="5" t="s">
        <v>195</v>
      </c>
      <c r="Q36" s="5" t="s">
        <v>100</v>
      </c>
      <c r="R36" s="5" t="s">
        <v>227</v>
      </c>
      <c r="S36" s="5" t="s">
        <v>228</v>
      </c>
    </row>
    <row r="37" customFormat="false" ht="15" hidden="false" customHeight="false" outlineLevel="0" collapsed="false">
      <c r="A37" s="11" t="s">
        <v>229</v>
      </c>
      <c r="B37" s="11" t="s">
        <v>94</v>
      </c>
      <c r="C37" s="11" t="s">
        <v>220</v>
      </c>
      <c r="D37" s="11" t="s">
        <v>137</v>
      </c>
      <c r="E37" s="12" t="n">
        <v>35957</v>
      </c>
      <c r="F37" s="11" t="s">
        <v>105</v>
      </c>
      <c r="G37" s="11" t="n">
        <v>2025</v>
      </c>
      <c r="H37" s="11" t="s">
        <v>111</v>
      </c>
      <c r="I37" s="13" t="n">
        <v>45663</v>
      </c>
      <c r="J37" s="13" t="n">
        <v>46022</v>
      </c>
      <c r="K37" s="11" t="str">
        <f aca="true">IF(J37="","",IF(J37&gt;=TODAY(),"Vigente","Encerrado"))</f>
        <v>Encerrado</v>
      </c>
      <c r="L37" s="14" t="n">
        <f aca="false">IF(OR(I37="",J37=""),"",ROUND((J37-I37)/30.44,1))</f>
        <v>11.8</v>
      </c>
      <c r="M37" s="15" t="n">
        <v>57600</v>
      </c>
      <c r="N37" s="15" t="n">
        <f aca="false">IF(OR(L37="",L37=0,M37=""),"",M37/L37)</f>
        <v>4881.35593220339</v>
      </c>
      <c r="O37" s="16" t="n">
        <f aca="false">IF(OR(E37=0,N37=""),"",N37*12/E37)</f>
        <v>1.62906447107491</v>
      </c>
      <c r="P37" s="11" t="s">
        <v>195</v>
      </c>
      <c r="Q37" s="11" t="s">
        <v>100</v>
      </c>
      <c r="R37" s="11" t="s">
        <v>230</v>
      </c>
      <c r="S37" s="11" t="s">
        <v>231</v>
      </c>
    </row>
    <row r="38" customFormat="false" ht="15" hidden="false" customHeight="false" outlineLevel="0" collapsed="false">
      <c r="A38" s="5" t="s">
        <v>232</v>
      </c>
      <c r="B38" s="5" t="s">
        <v>94</v>
      </c>
      <c r="C38" s="5" t="s">
        <v>220</v>
      </c>
      <c r="D38" s="5" t="s">
        <v>137</v>
      </c>
      <c r="E38" s="6" t="n">
        <v>35957</v>
      </c>
      <c r="F38" s="5" t="s">
        <v>105</v>
      </c>
      <c r="G38" s="5" t="n">
        <v>2025</v>
      </c>
      <c r="H38" s="5" t="s">
        <v>111</v>
      </c>
      <c r="I38" s="7" t="n">
        <v>45663</v>
      </c>
      <c r="J38" s="7" t="n">
        <v>46022</v>
      </c>
      <c r="K38" s="5" t="str">
        <f aca="true">IF(J38="","",IF(J38&gt;=TODAY(),"Vigente","Encerrado"))</f>
        <v>Encerrado</v>
      </c>
      <c r="L38" s="8" t="n">
        <f aca="false">IF(OR(I38="",J38=""),"",ROUND((J38-I38)/30.44,1))</f>
        <v>11.8</v>
      </c>
      <c r="M38" s="9" t="n">
        <v>57600</v>
      </c>
      <c r="N38" s="9" t="n">
        <f aca="false">IF(OR(L38="",L38=0,M38=""),"",M38/L38)</f>
        <v>4881.35593220339</v>
      </c>
      <c r="O38" s="10" t="n">
        <f aca="false">IF(OR(E38=0,N38=""),"",N38*12/E38)</f>
        <v>1.62906447107491</v>
      </c>
      <c r="P38" s="5" t="s">
        <v>195</v>
      </c>
      <c r="Q38" s="5" t="s">
        <v>100</v>
      </c>
      <c r="R38" s="18" t="s">
        <v>233</v>
      </c>
      <c r="S38" s="5" t="s">
        <v>234</v>
      </c>
    </row>
    <row r="39" customFormat="false" ht="15" hidden="false" customHeight="false" outlineLevel="0" collapsed="false">
      <c r="A39" s="11" t="s">
        <v>131</v>
      </c>
      <c r="B39" s="11" t="s">
        <v>94</v>
      </c>
      <c r="C39" s="11" t="s">
        <v>132</v>
      </c>
      <c r="D39" s="11" t="s">
        <v>96</v>
      </c>
      <c r="E39" s="12" t="n">
        <v>3630</v>
      </c>
      <c r="F39" s="11" t="s">
        <v>97</v>
      </c>
      <c r="G39" s="11" t="n">
        <v>2025</v>
      </c>
      <c r="H39" s="11" t="s">
        <v>111</v>
      </c>
      <c r="I39" s="13" t="n">
        <v>45663</v>
      </c>
      <c r="J39" s="13" t="n">
        <v>46022</v>
      </c>
      <c r="K39" s="11" t="str">
        <f aca="true">IF(J39="","",IF(J39&gt;=TODAY(),"Vigente","Encerrado"))</f>
        <v>Encerrado</v>
      </c>
      <c r="L39" s="14" t="n">
        <f aca="false">IF(OR(I39="",J39=""),"",ROUND((J39-I39)/30.44,1))</f>
        <v>11.8</v>
      </c>
      <c r="M39" s="15" t="n">
        <v>17280</v>
      </c>
      <c r="N39" s="15" t="n">
        <f aca="false">IF(OR(L39="",L39=0,M39=""),"",M39/L39)</f>
        <v>1464.40677966102</v>
      </c>
      <c r="O39" s="16" t="n">
        <f aca="false">IF(OR(E39=0,N39=""),"",N39*12/E39)</f>
        <v>4.84101414763973</v>
      </c>
      <c r="P39" s="11" t="s">
        <v>167</v>
      </c>
      <c r="Q39" s="11" t="s">
        <v>100</v>
      </c>
      <c r="R39" s="11" t="s">
        <v>235</v>
      </c>
      <c r="S39" s="11" t="s">
        <v>236</v>
      </c>
    </row>
    <row r="40" customFormat="false" ht="15" hidden="false" customHeight="false" outlineLevel="0" collapsed="false">
      <c r="A40" s="5" t="s">
        <v>237</v>
      </c>
      <c r="B40" s="5" t="s">
        <v>94</v>
      </c>
      <c r="C40" s="5" t="s">
        <v>238</v>
      </c>
      <c r="D40" s="5" t="s">
        <v>96</v>
      </c>
      <c r="E40" s="6" t="n">
        <v>17445</v>
      </c>
      <c r="F40" s="5" t="s">
        <v>97</v>
      </c>
      <c r="G40" s="5" t="n">
        <v>2025</v>
      </c>
      <c r="H40" s="5" t="s">
        <v>98</v>
      </c>
      <c r="I40" s="7" t="n">
        <v>45852</v>
      </c>
      <c r="J40" s="7" t="n">
        <v>46217</v>
      </c>
      <c r="K40" s="5" t="str">
        <f aca="true">IF(J40="","",IF(J40&gt;=TODAY(),"Vigente","Encerrado"))</f>
        <v>Encerrado</v>
      </c>
      <c r="L40" s="8" t="n">
        <f aca="false">IF(OR(I40="",J40=""),"",ROUND((J40-I40)/30.44,1))</f>
        <v>12</v>
      </c>
      <c r="M40" s="9" t="n">
        <v>151200</v>
      </c>
      <c r="N40" s="9" t="n">
        <f aca="false">IF(OR(L40="",L40=0,M40=""),"",M40/L40)</f>
        <v>12600</v>
      </c>
      <c r="O40" s="10" t="n">
        <f aca="false">IF(OR(E40=0,N40=""),"",N40*12/E40)</f>
        <v>8.66723989681857</v>
      </c>
      <c r="P40" s="5" t="s">
        <v>167</v>
      </c>
      <c r="Q40" s="5" t="s">
        <v>100</v>
      </c>
      <c r="R40" s="5" t="s">
        <v>239</v>
      </c>
      <c r="S40" s="5" t="s">
        <v>240</v>
      </c>
    </row>
    <row r="41" customFormat="false" ht="15" hidden="false" customHeight="false" outlineLevel="0" collapsed="false">
      <c r="A41" s="11" t="s">
        <v>241</v>
      </c>
      <c r="B41" s="11" t="s">
        <v>94</v>
      </c>
      <c r="C41" s="11" t="s">
        <v>242</v>
      </c>
      <c r="D41" s="11" t="s">
        <v>96</v>
      </c>
      <c r="E41" s="12" t="n">
        <v>2456</v>
      </c>
      <c r="F41" s="11" t="s">
        <v>97</v>
      </c>
      <c r="G41" s="11" t="n">
        <v>2025</v>
      </c>
      <c r="H41" s="11" t="s">
        <v>98</v>
      </c>
      <c r="I41" s="13" t="n">
        <v>45708</v>
      </c>
      <c r="J41" s="13" t="n">
        <v>46022</v>
      </c>
      <c r="K41" s="11" t="str">
        <f aca="true">IF(J41="","",IF(J41&gt;=TODAY(),"Vigente","Encerrado"))</f>
        <v>Encerrado</v>
      </c>
      <c r="L41" s="14" t="n">
        <f aca="false">IF(OR(I41="",J41=""),"",ROUND((J41-I41)/30.44,1))</f>
        <v>10.3</v>
      </c>
      <c r="M41" s="15" t="n">
        <v>99000</v>
      </c>
      <c r="N41" s="15" t="n">
        <f aca="false">IF(OR(L41="",L41=0,M41=""),"",M41/L41)</f>
        <v>9611.65048543689</v>
      </c>
      <c r="O41" s="16" t="n">
        <f aca="false">IF(OR(E41=0,N41=""),"",N41*12/E41)</f>
        <v>46.9624616552291</v>
      </c>
      <c r="P41" s="11" t="s">
        <v>167</v>
      </c>
      <c r="Q41" s="11" t="s">
        <v>100</v>
      </c>
      <c r="R41" s="11" t="s">
        <v>243</v>
      </c>
      <c r="S41" s="11" t="s">
        <v>244</v>
      </c>
    </row>
    <row r="42" customFormat="false" ht="15" hidden="false" customHeight="false" outlineLevel="0" collapsed="false">
      <c r="A42" s="5" t="s">
        <v>135</v>
      </c>
      <c r="B42" s="5" t="s">
        <v>94</v>
      </c>
      <c r="C42" s="5" t="s">
        <v>136</v>
      </c>
      <c r="D42" s="5" t="s">
        <v>137</v>
      </c>
      <c r="E42" s="6" t="n">
        <v>6054</v>
      </c>
      <c r="F42" s="5" t="s">
        <v>97</v>
      </c>
      <c r="G42" s="5" t="n">
        <v>2026</v>
      </c>
      <c r="H42" s="5" t="s">
        <v>106</v>
      </c>
      <c r="I42" s="7" t="n">
        <v>46024</v>
      </c>
      <c r="J42" s="7" t="n">
        <v>46388</v>
      </c>
      <c r="K42" s="5" t="str">
        <f aca="true">IF(J42="","",IF(J42&gt;=TODAY(),"Vigente","Encerrado"))</f>
        <v>Vigente</v>
      </c>
      <c r="L42" s="8" t="n">
        <f aca="false">IF(OR(I42="",J42=""),"",ROUND((J42-I42)/30.44,1))</f>
        <v>12</v>
      </c>
      <c r="M42" s="9" t="n">
        <v>24000</v>
      </c>
      <c r="N42" s="9" t="n">
        <f aca="false">IF(OR(L42="",L42=0,M42=""),"",M42/L42)</f>
        <v>2000</v>
      </c>
      <c r="O42" s="10" t="n">
        <f aca="false">IF(OR(E42=0,N42=""),"",N42*12/E42)</f>
        <v>3.96432111000991</v>
      </c>
      <c r="P42" s="5" t="s">
        <v>195</v>
      </c>
      <c r="Q42" s="5" t="s">
        <v>100</v>
      </c>
      <c r="R42" s="5" t="s">
        <v>245</v>
      </c>
      <c r="S42" s="5" t="s">
        <v>246</v>
      </c>
    </row>
    <row r="43" customFormat="false" ht="15" hidden="false" customHeight="false" outlineLevel="0" collapsed="false">
      <c r="A43" s="11" t="s">
        <v>135</v>
      </c>
      <c r="B43" s="11" t="s">
        <v>94</v>
      </c>
      <c r="C43" s="11" t="s">
        <v>136</v>
      </c>
      <c r="D43" s="11" t="s">
        <v>137</v>
      </c>
      <c r="E43" s="12" t="n">
        <v>6054</v>
      </c>
      <c r="F43" s="11" t="s">
        <v>97</v>
      </c>
      <c r="G43" s="11" t="n">
        <v>2026</v>
      </c>
      <c r="H43" s="11" t="s">
        <v>106</v>
      </c>
      <c r="I43" s="13" t="n">
        <v>46024</v>
      </c>
      <c r="J43" s="13" t="n">
        <v>46388</v>
      </c>
      <c r="K43" s="11" t="str">
        <f aca="true">IF(J43="","",IF(J43&gt;=TODAY(),"Vigente","Encerrado"))</f>
        <v>Vigente</v>
      </c>
      <c r="L43" s="14" t="n">
        <f aca="false">IF(OR(I43="",J43=""),"",ROUND((J43-I43)/30.44,1))</f>
        <v>12</v>
      </c>
      <c r="M43" s="15" t="n">
        <v>24000</v>
      </c>
      <c r="N43" s="15" t="n">
        <f aca="false">IF(OR(L43="",L43=0,M43=""),"",M43/L43)</f>
        <v>2000</v>
      </c>
      <c r="O43" s="16" t="n">
        <f aca="false">IF(OR(E43=0,N43=""),"",N43*12/E43)</f>
        <v>3.96432111000991</v>
      </c>
      <c r="P43" s="11" t="s">
        <v>195</v>
      </c>
      <c r="Q43" s="11" t="s">
        <v>100</v>
      </c>
      <c r="R43" s="11" t="s">
        <v>247</v>
      </c>
      <c r="S43" s="11" t="s">
        <v>248</v>
      </c>
    </row>
    <row r="44" customFormat="false" ht="15" hidden="false" customHeight="false" outlineLevel="0" collapsed="false">
      <c r="A44" s="5" t="s">
        <v>135</v>
      </c>
      <c r="B44" s="5" t="s">
        <v>94</v>
      </c>
      <c r="C44" s="5" t="s">
        <v>136</v>
      </c>
      <c r="D44" s="5" t="s">
        <v>137</v>
      </c>
      <c r="E44" s="6" t="n">
        <v>6054</v>
      </c>
      <c r="F44" s="5" t="s">
        <v>97</v>
      </c>
      <c r="G44" s="5" t="n">
        <v>2026</v>
      </c>
      <c r="H44" s="5" t="s">
        <v>106</v>
      </c>
      <c r="I44" s="7" t="n">
        <v>46024</v>
      </c>
      <c r="J44" s="7" t="n">
        <v>46389</v>
      </c>
      <c r="K44" s="5" t="str">
        <f aca="true">IF(J44="","",IF(J44&gt;=TODAY(),"Vigente","Encerrado"))</f>
        <v>Vigente</v>
      </c>
      <c r="L44" s="8" t="n">
        <f aca="false">IF(OR(I44="",J44=""),"",ROUND((J44-I44)/30.44,1))</f>
        <v>12</v>
      </c>
      <c r="M44" s="9" t="n">
        <v>54000</v>
      </c>
      <c r="N44" s="9" t="n">
        <f aca="false">IF(OR(L44="",L44=0,M44=""),"",M44/L44)</f>
        <v>4500</v>
      </c>
      <c r="O44" s="10" t="n">
        <f aca="false">IF(OR(E44=0,N44=""),"",N44*12/E44)</f>
        <v>8.9197224975223</v>
      </c>
      <c r="P44" s="5" t="s">
        <v>195</v>
      </c>
      <c r="Q44" s="5" t="s">
        <v>100</v>
      </c>
      <c r="R44" s="5" t="s">
        <v>245</v>
      </c>
      <c r="S44" s="5" t="s">
        <v>249</v>
      </c>
    </row>
    <row r="45" customFormat="false" ht="15" hidden="false" customHeight="false" outlineLevel="0" collapsed="false">
      <c r="A45" s="11" t="s">
        <v>250</v>
      </c>
      <c r="B45" s="11" t="s">
        <v>94</v>
      </c>
      <c r="C45" s="11" t="s">
        <v>136</v>
      </c>
      <c r="D45" s="11" t="s">
        <v>137</v>
      </c>
      <c r="E45" s="12" t="n">
        <v>6054</v>
      </c>
      <c r="F45" s="11" t="s">
        <v>97</v>
      </c>
      <c r="G45" s="11" t="n">
        <v>2025</v>
      </c>
      <c r="H45" s="11" t="s">
        <v>111</v>
      </c>
      <c r="I45" s="13" t="n">
        <v>45729</v>
      </c>
      <c r="J45" s="13" t="n">
        <v>46022</v>
      </c>
      <c r="K45" s="11" t="str">
        <f aca="true">IF(J45="","",IF(J45&gt;=TODAY(),"Vigente","Encerrado"))</f>
        <v>Encerrado</v>
      </c>
      <c r="L45" s="14" t="n">
        <f aca="false">IF(OR(I45="",J45=""),"",ROUND((J45-I45)/30.44,1))</f>
        <v>9.6</v>
      </c>
      <c r="M45" s="15" t="n">
        <v>20000</v>
      </c>
      <c r="N45" s="15" t="n">
        <f aca="false">IF(OR(L45="",L45=0,M45=""),"",M45/L45)</f>
        <v>2083.33333333333</v>
      </c>
      <c r="O45" s="16" t="n">
        <f aca="false">IF(OR(E45=0,N45=""),"",N45*12/E45)</f>
        <v>4.12950115626032</v>
      </c>
      <c r="P45" s="11" t="s">
        <v>195</v>
      </c>
      <c r="Q45" s="11" t="s">
        <v>100</v>
      </c>
      <c r="R45" s="11" t="s">
        <v>251</v>
      </c>
      <c r="S45" s="11" t="s">
        <v>252</v>
      </c>
    </row>
    <row r="46" customFormat="false" ht="15" hidden="false" customHeight="false" outlineLevel="0" collapsed="false">
      <c r="A46" s="5" t="s">
        <v>253</v>
      </c>
      <c r="B46" s="5" t="s">
        <v>94</v>
      </c>
      <c r="C46" s="5" t="s">
        <v>254</v>
      </c>
      <c r="D46" s="5" t="s">
        <v>96</v>
      </c>
      <c r="E46" s="6" t="n">
        <v>4087</v>
      </c>
      <c r="F46" s="5" t="s">
        <v>97</v>
      </c>
      <c r="G46" s="5" t="n">
        <v>2026</v>
      </c>
      <c r="H46" s="5" t="s">
        <v>98</v>
      </c>
      <c r="I46" s="7" t="n">
        <v>46219</v>
      </c>
      <c r="J46" s="7" t="n">
        <v>46752</v>
      </c>
      <c r="K46" s="5" t="str">
        <f aca="true">IF(J46="","",IF(J46&gt;=TODAY(),"Vigente","Encerrado"))</f>
        <v>Vigente</v>
      </c>
      <c r="L46" s="8" t="n">
        <f aca="false">IF(OR(I46="",J46=""),"",ROUND((J46-I46)/30.44,1))</f>
        <v>17.5</v>
      </c>
      <c r="M46" s="9" t="n">
        <v>56800</v>
      </c>
      <c r="N46" s="9" t="n">
        <f aca="false">IF(OR(L46="",L46=0,M46=""),"",M46/L46)</f>
        <v>3245.71428571429</v>
      </c>
      <c r="O46" s="10" t="n">
        <f aca="false">IF(OR(E46=0,N46=""),"",N46*12/E46)</f>
        <v>9.52986822328638</v>
      </c>
      <c r="P46" s="5" t="s">
        <v>167</v>
      </c>
      <c r="Q46" s="5" t="s">
        <v>100</v>
      </c>
      <c r="R46" s="5" t="s">
        <v>255</v>
      </c>
      <c r="S46" s="5" t="s">
        <v>256</v>
      </c>
    </row>
    <row r="47" customFormat="false" ht="15" hidden="false" customHeight="false" outlineLevel="0" collapsed="false">
      <c r="A47" s="11" t="s">
        <v>257</v>
      </c>
      <c r="B47" s="11" t="s">
        <v>94</v>
      </c>
      <c r="C47" s="11" t="s">
        <v>258</v>
      </c>
      <c r="D47" s="11" t="s">
        <v>96</v>
      </c>
      <c r="E47" s="12" t="n">
        <v>3224</v>
      </c>
      <c r="F47" s="11" t="s">
        <v>97</v>
      </c>
      <c r="G47" s="11" t="n">
        <v>2026</v>
      </c>
      <c r="H47" s="11" t="s">
        <v>106</v>
      </c>
      <c r="I47" s="13" t="n">
        <v>46188</v>
      </c>
      <c r="J47" s="13" t="n">
        <v>46553</v>
      </c>
      <c r="K47" s="11" t="str">
        <f aca="true">IF(J47="","",IF(J47&gt;=TODAY(),"Vigente","Encerrado"))</f>
        <v>Vigente</v>
      </c>
      <c r="L47" s="14" t="n">
        <f aca="false">IF(OR(I47="",J47=""),"",ROUND((J47-I47)/30.44,1))</f>
        <v>12</v>
      </c>
      <c r="M47" s="15" t="n">
        <v>108000</v>
      </c>
      <c r="N47" s="15" t="n">
        <f aca="false">IF(OR(L47="",L47=0,M47=""),"",M47/L47)</f>
        <v>9000</v>
      </c>
      <c r="O47" s="16" t="n">
        <f aca="false">IF(OR(E47=0,N47=""),"",N47*12/E47)</f>
        <v>33.4987593052109</v>
      </c>
      <c r="P47" s="11" t="s">
        <v>167</v>
      </c>
      <c r="Q47" s="11" t="s">
        <v>100</v>
      </c>
      <c r="R47" s="11" t="s">
        <v>259</v>
      </c>
      <c r="S47" s="11" t="s">
        <v>260</v>
      </c>
    </row>
    <row r="48" customFormat="false" ht="15" hidden="false" customHeight="false" outlineLevel="0" collapsed="false">
      <c r="A48" s="5" t="s">
        <v>261</v>
      </c>
      <c r="B48" s="5" t="s">
        <v>94</v>
      </c>
      <c r="C48" s="5" t="s">
        <v>110</v>
      </c>
      <c r="D48" s="5" t="s">
        <v>96</v>
      </c>
      <c r="E48" s="6" t="n">
        <v>14156</v>
      </c>
      <c r="F48" s="5" t="s">
        <v>97</v>
      </c>
      <c r="G48" s="5" t="n">
        <v>2025</v>
      </c>
      <c r="H48" s="5" t="s">
        <v>98</v>
      </c>
      <c r="I48" s="7" t="n">
        <v>45744</v>
      </c>
      <c r="J48" s="7" t="n">
        <v>46022</v>
      </c>
      <c r="K48" s="5" t="str">
        <f aca="true">IF(J48="","",IF(J48&gt;=TODAY(),"Vigente","Encerrado"))</f>
        <v>Encerrado</v>
      </c>
      <c r="L48" s="8" t="n">
        <f aca="false">IF(OR(I48="",J48=""),"",ROUND((J48-I48)/30.44,1))</f>
        <v>9.1</v>
      </c>
      <c r="M48" s="9" t="n">
        <v>70000</v>
      </c>
      <c r="N48" s="9" t="n">
        <f aca="false">IF(OR(L48="",L48=0,M48=""),"",M48/L48)</f>
        <v>7692.30769230769</v>
      </c>
      <c r="O48" s="10" t="n">
        <f aca="false">IF(OR(E48=0,N48=""),"",N48*12/E48)</f>
        <v>6.52074684287174</v>
      </c>
      <c r="P48" s="5" t="s">
        <v>167</v>
      </c>
      <c r="Q48" s="5" t="s">
        <v>100</v>
      </c>
      <c r="R48" s="5" t="s">
        <v>262</v>
      </c>
      <c r="S48" s="5" t="s">
        <v>263</v>
      </c>
    </row>
    <row r="49" customFormat="false" ht="15" hidden="false" customHeight="false" outlineLevel="0" collapsed="false">
      <c r="A49" s="11" t="s">
        <v>264</v>
      </c>
      <c r="B49" s="11" t="s">
        <v>94</v>
      </c>
      <c r="C49" s="11" t="s">
        <v>265</v>
      </c>
      <c r="D49" s="11" t="s">
        <v>96</v>
      </c>
      <c r="E49" s="12" t="n">
        <v>2729</v>
      </c>
      <c r="F49" s="11" t="s">
        <v>97</v>
      </c>
      <c r="G49" s="11" t="n">
        <v>2025</v>
      </c>
      <c r="H49" s="11" t="s">
        <v>98</v>
      </c>
      <c r="I49" s="13" t="n">
        <v>45839</v>
      </c>
      <c r="J49" s="13" t="n">
        <v>46022</v>
      </c>
      <c r="K49" s="11" t="str">
        <f aca="true">IF(J49="","",IF(J49&gt;=TODAY(),"Vigente","Encerrado"))</f>
        <v>Encerrado</v>
      </c>
      <c r="L49" s="14" t="n">
        <f aca="false">IF(OR(I49="",J49=""),"",ROUND((J49-I49)/30.44,1))</f>
        <v>6</v>
      </c>
      <c r="M49" s="15" t="n">
        <v>48000</v>
      </c>
      <c r="N49" s="15" t="n">
        <f aca="false">IF(OR(L49="",L49=0,M49=""),"",M49/L49)</f>
        <v>8000</v>
      </c>
      <c r="O49" s="16" t="n">
        <f aca="false">IF(OR(E49=0,N49=""),"",N49*12/E49)</f>
        <v>35.1777207768413</v>
      </c>
      <c r="P49" s="11" t="s">
        <v>167</v>
      </c>
      <c r="Q49" s="11" t="s">
        <v>100</v>
      </c>
      <c r="R49" s="11" t="s">
        <v>266</v>
      </c>
      <c r="S49" s="11" t="s">
        <v>267</v>
      </c>
    </row>
    <row r="50" customFormat="false" ht="15" hidden="false" customHeight="false" outlineLevel="0" collapsed="false">
      <c r="A50" s="5" t="s">
        <v>268</v>
      </c>
      <c r="B50" s="5" t="s">
        <v>94</v>
      </c>
      <c r="C50" s="5" t="s">
        <v>269</v>
      </c>
      <c r="D50" s="5" t="s">
        <v>96</v>
      </c>
      <c r="E50" s="6" t="n">
        <v>6360</v>
      </c>
      <c r="F50" s="5" t="s">
        <v>97</v>
      </c>
      <c r="G50" s="5" t="n">
        <v>2025</v>
      </c>
      <c r="H50" s="5" t="s">
        <v>111</v>
      </c>
      <c r="I50" s="7" t="n">
        <v>45785</v>
      </c>
      <c r="J50" s="7" t="n">
        <v>45900</v>
      </c>
      <c r="K50" s="5" t="str">
        <f aca="true">IF(J50="","",IF(J50&gt;=TODAY(),"Vigente","Encerrado"))</f>
        <v>Encerrado</v>
      </c>
      <c r="L50" s="8" t="n">
        <f aca="false">IF(OR(I50="",J50=""),"",ROUND((J50-I50)/30.44,1))</f>
        <v>3.8</v>
      </c>
      <c r="M50" s="9" t="n">
        <v>36000</v>
      </c>
      <c r="N50" s="9" t="n">
        <f aca="false">IF(OR(L50="",L50=0,M50=""),"",M50/L50)</f>
        <v>9473.68421052632</v>
      </c>
      <c r="O50" s="10" t="n">
        <f aca="false">IF(OR(E50=0,N50=""),"",N50*12/E50)</f>
        <v>17.8748758689176</v>
      </c>
      <c r="P50" s="5" t="s">
        <v>167</v>
      </c>
      <c r="Q50" s="5" t="s">
        <v>100</v>
      </c>
      <c r="R50" s="5" t="s">
        <v>270</v>
      </c>
      <c r="S50" s="5" t="s">
        <v>271</v>
      </c>
    </row>
    <row r="51" customFormat="false" ht="15" hidden="false" customHeight="false" outlineLevel="0" collapsed="false">
      <c r="A51" s="11" t="s">
        <v>272</v>
      </c>
      <c r="B51" s="11" t="s">
        <v>94</v>
      </c>
      <c r="C51" s="11" t="s">
        <v>273</v>
      </c>
      <c r="D51" s="11" t="s">
        <v>96</v>
      </c>
      <c r="E51" s="12" t="n">
        <v>2946</v>
      </c>
      <c r="F51" s="11" t="s">
        <v>97</v>
      </c>
      <c r="G51" s="11" t="n">
        <v>2024</v>
      </c>
      <c r="H51" s="11" t="s">
        <v>111</v>
      </c>
      <c r="I51" s="13" t="n">
        <v>45301</v>
      </c>
      <c r="J51" s="13" t="n">
        <v>45657</v>
      </c>
      <c r="K51" s="11" t="str">
        <f aca="true">IF(J51="","",IF(J51&gt;=TODAY(),"Vigente","Encerrado"))</f>
        <v>Encerrado</v>
      </c>
      <c r="L51" s="14" t="n">
        <f aca="false">IF(OR(I51="",J51=""),"",ROUND((J51-I51)/30.44,1))</f>
        <v>11.7</v>
      </c>
      <c r="M51" s="15" t="n">
        <v>17592</v>
      </c>
      <c r="N51" s="15" t="n">
        <f aca="false">IF(OR(L51="",L51=0,M51=""),"",M51/L51)</f>
        <v>1503.58974358974</v>
      </c>
      <c r="O51" s="16" t="n">
        <f aca="false">IF(OR(E51=0,N51=""),"",N51*12/E51)</f>
        <v>6.12460180688287</v>
      </c>
      <c r="P51" s="11" t="s">
        <v>167</v>
      </c>
      <c r="Q51" s="11" t="s">
        <v>100</v>
      </c>
      <c r="R51" s="11" t="s">
        <v>274</v>
      </c>
      <c r="S51" s="11" t="s">
        <v>275</v>
      </c>
    </row>
    <row r="52" customFormat="false" ht="15" hidden="false" customHeight="false" outlineLevel="0" collapsed="false">
      <c r="A52" s="5" t="s">
        <v>272</v>
      </c>
      <c r="B52" s="5" t="s">
        <v>94</v>
      </c>
      <c r="C52" s="5" t="s">
        <v>273</v>
      </c>
      <c r="D52" s="5" t="s">
        <v>96</v>
      </c>
      <c r="E52" s="6" t="n">
        <v>2946</v>
      </c>
      <c r="F52" s="5" t="s">
        <v>97</v>
      </c>
      <c r="G52" s="5" t="n">
        <v>2025</v>
      </c>
      <c r="H52" s="5" t="s">
        <v>111</v>
      </c>
      <c r="I52" s="7" t="n">
        <v>45670</v>
      </c>
      <c r="J52" s="7" t="n">
        <v>46022</v>
      </c>
      <c r="K52" s="5" t="str">
        <f aca="true">IF(J52="","",IF(J52&gt;=TODAY(),"Vigente","Encerrado"))</f>
        <v>Encerrado</v>
      </c>
      <c r="L52" s="8" t="n">
        <f aca="false">IF(OR(I52="",J52=""),"",ROUND((J52-I52)/30.44,1))</f>
        <v>11.6</v>
      </c>
      <c r="M52" s="9" t="n">
        <v>19200</v>
      </c>
      <c r="N52" s="9" t="n">
        <f aca="false">IF(OR(L52="",L52=0,M52=""),"",M52/L52)</f>
        <v>1655.1724137931</v>
      </c>
      <c r="O52" s="10" t="n">
        <f aca="false">IF(OR(E52=0,N52=""),"",N52*12/E52)</f>
        <v>6.74204649202894</v>
      </c>
      <c r="P52" s="5" t="s">
        <v>167</v>
      </c>
      <c r="Q52" s="5" t="s">
        <v>100</v>
      </c>
      <c r="R52" s="5" t="s">
        <v>276</v>
      </c>
      <c r="S52" s="5" t="s">
        <v>277</v>
      </c>
    </row>
    <row r="53" customFormat="false" ht="15" hidden="false" customHeight="false" outlineLevel="0" collapsed="false">
      <c r="A53" s="11" t="s">
        <v>278</v>
      </c>
      <c r="B53" s="11" t="s">
        <v>94</v>
      </c>
      <c r="C53" s="11" t="s">
        <v>273</v>
      </c>
      <c r="D53" s="11" t="s">
        <v>96</v>
      </c>
      <c r="E53" s="12" t="n">
        <v>2946</v>
      </c>
      <c r="F53" s="11" t="s">
        <v>97</v>
      </c>
      <c r="G53" s="11" t="n">
        <v>2025</v>
      </c>
      <c r="H53" s="11" t="s">
        <v>111</v>
      </c>
      <c r="I53" s="13" t="n">
        <v>45786</v>
      </c>
      <c r="J53" s="13" t="n">
        <v>45991</v>
      </c>
      <c r="K53" s="11" t="str">
        <f aca="true">IF(J53="","",IF(J53&gt;=TODAY(),"Vigente","Encerrado"))</f>
        <v>Encerrado</v>
      </c>
      <c r="L53" s="14" t="n">
        <f aca="false">IF(OR(I53="",J53=""),"",ROUND((J53-I53)/30.44,1))</f>
        <v>6.7</v>
      </c>
      <c r="M53" s="15" t="n">
        <v>56000</v>
      </c>
      <c r="N53" s="15" t="n">
        <f aca="false">IF(OR(L53="",L53=0,M53=""),"",M53/L53)</f>
        <v>8358.20895522388</v>
      </c>
      <c r="O53" s="16" t="n">
        <f aca="false">IF(OR(E53=0,N53=""),"",N53*12/E53)</f>
        <v>34.0456576587531</v>
      </c>
      <c r="P53" s="11" t="s">
        <v>167</v>
      </c>
      <c r="Q53" s="11" t="s">
        <v>100</v>
      </c>
      <c r="R53" s="11" t="s">
        <v>279</v>
      </c>
      <c r="S53" s="11" t="s">
        <v>280</v>
      </c>
    </row>
    <row r="54" customFormat="false" ht="15" hidden="false" customHeight="false" outlineLevel="0" collapsed="false">
      <c r="A54" s="5" t="s">
        <v>281</v>
      </c>
      <c r="B54" s="5" t="s">
        <v>94</v>
      </c>
      <c r="C54" s="5" t="s">
        <v>282</v>
      </c>
      <c r="D54" s="5" t="s">
        <v>96</v>
      </c>
      <c r="E54" s="6" t="n">
        <v>2124</v>
      </c>
      <c r="F54" s="5" t="s">
        <v>97</v>
      </c>
      <c r="G54" s="5" t="n">
        <v>2026</v>
      </c>
      <c r="H54" s="5" t="s">
        <v>106</v>
      </c>
      <c r="I54" s="7" t="n">
        <v>46056</v>
      </c>
      <c r="J54" s="7" t="n">
        <v>46421</v>
      </c>
      <c r="K54" s="5" t="str">
        <f aca="true">IF(J54="","",IF(J54&gt;=TODAY(),"Vigente","Encerrado"))</f>
        <v>Vigente</v>
      </c>
      <c r="L54" s="8" t="n">
        <f aca="false">IF(OR(I54="",J54=""),"",ROUND((J54-I54)/30.44,1))</f>
        <v>12</v>
      </c>
      <c r="M54" s="9" t="n">
        <v>11830.8</v>
      </c>
      <c r="N54" s="9" t="n">
        <f aca="false">IF(OR(L54="",L54=0,M54=""),"",M54/L54)</f>
        <v>985.9</v>
      </c>
      <c r="O54" s="10" t="n">
        <f aca="false">IF(OR(E54=0,N54=""),"",N54*12/E54)</f>
        <v>5.57005649717514</v>
      </c>
      <c r="P54" s="5" t="s">
        <v>167</v>
      </c>
      <c r="Q54" s="5" t="s">
        <v>100</v>
      </c>
      <c r="R54" s="5" t="s">
        <v>283</v>
      </c>
      <c r="S54" s="5" t="s">
        <v>284</v>
      </c>
    </row>
    <row r="55" customFormat="false" ht="15" hidden="false" customHeight="false" outlineLevel="0" collapsed="false">
      <c r="A55" s="11" t="s">
        <v>281</v>
      </c>
      <c r="B55" s="11" t="s">
        <v>94</v>
      </c>
      <c r="C55" s="11" t="s">
        <v>282</v>
      </c>
      <c r="D55" s="11" t="s">
        <v>96</v>
      </c>
      <c r="E55" s="12" t="n">
        <v>2124</v>
      </c>
      <c r="F55" s="11" t="s">
        <v>97</v>
      </c>
      <c r="G55" s="11" t="n">
        <v>2026</v>
      </c>
      <c r="H55" s="11" t="s">
        <v>106</v>
      </c>
      <c r="I55" s="13" t="n">
        <v>46056</v>
      </c>
      <c r="J55" s="13" t="n">
        <v>46421</v>
      </c>
      <c r="K55" s="11" t="str">
        <f aca="true">IF(J55="","",IF(J55&gt;=TODAY(),"Vigente","Encerrado"))</f>
        <v>Vigente</v>
      </c>
      <c r="L55" s="14" t="n">
        <f aca="false">IF(OR(I55="",J55=""),"",ROUND((J55-I55)/30.44,1))</f>
        <v>12</v>
      </c>
      <c r="M55" s="15" t="n">
        <v>11830.8</v>
      </c>
      <c r="N55" s="15" t="n">
        <f aca="false">IF(OR(L55="",L55=0,M55=""),"",M55/L55)</f>
        <v>985.9</v>
      </c>
      <c r="O55" s="16" t="n">
        <f aca="false">IF(OR(E55=0,N55=""),"",N55*12/E55)</f>
        <v>5.57005649717514</v>
      </c>
      <c r="P55" s="11" t="s">
        <v>167</v>
      </c>
      <c r="Q55" s="11" t="s">
        <v>100</v>
      </c>
      <c r="R55" s="11" t="s">
        <v>285</v>
      </c>
      <c r="S55" s="11" t="s">
        <v>286</v>
      </c>
    </row>
    <row r="56" customFormat="false" ht="15" hidden="false" customHeight="false" outlineLevel="0" collapsed="false">
      <c r="A56" s="5" t="s">
        <v>281</v>
      </c>
      <c r="B56" s="5" t="s">
        <v>94</v>
      </c>
      <c r="C56" s="5" t="s">
        <v>282</v>
      </c>
      <c r="D56" s="5" t="s">
        <v>96</v>
      </c>
      <c r="E56" s="6" t="n">
        <v>2124</v>
      </c>
      <c r="F56" s="5" t="s">
        <v>97</v>
      </c>
      <c r="G56" s="5" t="n">
        <v>2026</v>
      </c>
      <c r="H56" s="5" t="s">
        <v>106</v>
      </c>
      <c r="I56" s="7" t="n">
        <v>46056</v>
      </c>
      <c r="J56" s="7" t="n">
        <v>46421</v>
      </c>
      <c r="K56" s="5" t="str">
        <f aca="true">IF(J56="","",IF(J56&gt;=TODAY(),"Vigente","Encerrado"))</f>
        <v>Vigente</v>
      </c>
      <c r="L56" s="8" t="n">
        <f aca="false">IF(OR(I56="",J56=""),"",ROUND((J56-I56)/30.44,1))</f>
        <v>12</v>
      </c>
      <c r="M56" s="9" t="n">
        <v>23661.6</v>
      </c>
      <c r="N56" s="9" t="n">
        <f aca="false">IF(OR(L56="",L56=0,M56=""),"",M56/L56)</f>
        <v>1971.8</v>
      </c>
      <c r="O56" s="10" t="n">
        <f aca="false">IF(OR(E56=0,N56=""),"",N56*12/E56)</f>
        <v>11.1401129943503</v>
      </c>
      <c r="P56" s="5" t="s">
        <v>167</v>
      </c>
      <c r="Q56" s="5" t="s">
        <v>100</v>
      </c>
      <c r="R56" s="5" t="s">
        <v>287</v>
      </c>
      <c r="S56" s="5" t="s">
        <v>288</v>
      </c>
    </row>
    <row r="57" customFormat="false" ht="15" hidden="false" customHeight="false" outlineLevel="0" collapsed="false">
      <c r="A57" s="11" t="s">
        <v>281</v>
      </c>
      <c r="B57" s="11" t="s">
        <v>94</v>
      </c>
      <c r="C57" s="11" t="s">
        <v>282</v>
      </c>
      <c r="D57" s="11" t="s">
        <v>96</v>
      </c>
      <c r="E57" s="12" t="n">
        <v>2124</v>
      </c>
      <c r="F57" s="11" t="s">
        <v>97</v>
      </c>
      <c r="G57" s="11" t="n">
        <v>2026</v>
      </c>
      <c r="H57" s="11" t="s">
        <v>106</v>
      </c>
      <c r="I57" s="13" t="n">
        <v>46056</v>
      </c>
      <c r="J57" s="13" t="n">
        <v>46421</v>
      </c>
      <c r="K57" s="11" t="str">
        <f aca="true">IF(J57="","",IF(J57&gt;=TODAY(),"Vigente","Encerrado"))</f>
        <v>Vigente</v>
      </c>
      <c r="L57" s="14" t="n">
        <f aca="false">IF(OR(I57="",J57=""),"",ROUND((J57-I57)/30.44,1))</f>
        <v>12</v>
      </c>
      <c r="M57" s="15" t="n">
        <v>54676.8</v>
      </c>
      <c r="N57" s="15" t="n">
        <f aca="false">IF(OR(L57="",L57=0,M57=""),"",M57/L57)</f>
        <v>4556.4</v>
      </c>
      <c r="O57" s="16" t="n">
        <f aca="false">IF(OR(E57=0,N57=""),"",N57*12/E57)</f>
        <v>25.7423728813559</v>
      </c>
      <c r="P57" s="11" t="s">
        <v>167</v>
      </c>
      <c r="Q57" s="11" t="s">
        <v>100</v>
      </c>
      <c r="R57" s="11" t="s">
        <v>289</v>
      </c>
      <c r="S57" s="11" t="s">
        <v>290</v>
      </c>
    </row>
    <row r="58" customFormat="false" ht="15" hidden="false" customHeight="false" outlineLevel="0" collapsed="false">
      <c r="A58" s="5" t="s">
        <v>291</v>
      </c>
      <c r="B58" s="5" t="s">
        <v>94</v>
      </c>
      <c r="C58" s="5" t="s">
        <v>292</v>
      </c>
      <c r="D58" s="5" t="s">
        <v>96</v>
      </c>
      <c r="E58" s="6" t="n">
        <v>9035</v>
      </c>
      <c r="F58" s="5" t="s">
        <v>97</v>
      </c>
      <c r="G58" s="5" t="n">
        <v>2026</v>
      </c>
      <c r="H58" s="5" t="s">
        <v>98</v>
      </c>
      <c r="I58" s="7" t="n">
        <v>46059</v>
      </c>
      <c r="J58" s="7" t="n">
        <v>46424</v>
      </c>
      <c r="K58" s="5" t="str">
        <f aca="true">IF(J58="","",IF(J58&gt;=TODAY(),"Vigente","Encerrado"))</f>
        <v>Vigente</v>
      </c>
      <c r="L58" s="8" t="n">
        <f aca="false">IF(OR(I58="",J58=""),"",ROUND((J58-I58)/30.44,1))</f>
        <v>12</v>
      </c>
      <c r="M58" s="9" t="n">
        <v>116400</v>
      </c>
      <c r="N58" s="9" t="n">
        <f aca="false">IF(OR(L58="",L58=0,M58=""),"",M58/L58)</f>
        <v>9700</v>
      </c>
      <c r="O58" s="10" t="n">
        <f aca="false">IF(OR(E58=0,N58=""),"",N58*12/E58)</f>
        <v>12.8832318760376</v>
      </c>
      <c r="P58" s="5" t="s">
        <v>167</v>
      </c>
      <c r="Q58" s="5" t="s">
        <v>100</v>
      </c>
      <c r="R58" s="18" t="s">
        <v>293</v>
      </c>
      <c r="S58" s="5" t="s">
        <v>294</v>
      </c>
    </row>
    <row r="59" customFormat="false" ht="15" hidden="false" customHeight="false" outlineLevel="0" collapsed="false">
      <c r="A59" s="11" t="s">
        <v>114</v>
      </c>
      <c r="B59" s="11" t="s">
        <v>94</v>
      </c>
      <c r="C59" s="11" t="s">
        <v>115</v>
      </c>
      <c r="D59" s="11" t="s">
        <v>96</v>
      </c>
      <c r="E59" s="12" t="n">
        <v>8405</v>
      </c>
      <c r="F59" s="11" t="s">
        <v>97</v>
      </c>
      <c r="G59" s="11" t="n">
        <v>2025</v>
      </c>
      <c r="H59" s="11" t="s">
        <v>111</v>
      </c>
      <c r="I59" s="13" t="n">
        <v>45667</v>
      </c>
      <c r="J59" s="13" t="n">
        <v>45869</v>
      </c>
      <c r="K59" s="11" t="str">
        <f aca="true">IF(J59="","",IF(J59&gt;=TODAY(),"Vigente","Encerrado"))</f>
        <v>Encerrado</v>
      </c>
      <c r="L59" s="14" t="n">
        <f aca="false">IF(OR(I59="",J59=""),"",ROUND((J59-I59)/30.44,1))</f>
        <v>6.6</v>
      </c>
      <c r="M59" s="15" t="n">
        <v>58100</v>
      </c>
      <c r="N59" s="15" t="n">
        <f aca="false">IF(OR(L59="",L59=0,M59=""),"",M59/L59)</f>
        <v>8803.0303030303</v>
      </c>
      <c r="O59" s="16" t="n">
        <f aca="false">IF(OR(E59=0,N59=""),"",N59*12/E59)</f>
        <v>12.5682764588178</v>
      </c>
      <c r="P59" s="11" t="s">
        <v>167</v>
      </c>
      <c r="Q59" s="11" t="s">
        <v>100</v>
      </c>
      <c r="R59" s="11" t="s">
        <v>295</v>
      </c>
      <c r="S59" s="11" t="s">
        <v>296</v>
      </c>
    </row>
    <row r="60" customFormat="false" ht="15" hidden="false" customHeight="false" outlineLevel="0" collapsed="false">
      <c r="A60" s="5" t="s">
        <v>145</v>
      </c>
      <c r="B60" s="5" t="s">
        <v>94</v>
      </c>
      <c r="C60" s="5" t="s">
        <v>146</v>
      </c>
      <c r="D60" s="5" t="s">
        <v>96</v>
      </c>
      <c r="E60" s="6" t="n">
        <v>2893</v>
      </c>
      <c r="F60" s="5" t="s">
        <v>97</v>
      </c>
      <c r="G60" s="5" t="n">
        <v>2026</v>
      </c>
      <c r="H60" s="5" t="s">
        <v>106</v>
      </c>
      <c r="I60" s="7" t="n">
        <v>46204</v>
      </c>
      <c r="J60" s="7" t="n">
        <v>46569</v>
      </c>
      <c r="K60" s="5" t="str">
        <f aca="true">IF(J60="","",IF(J60&gt;=TODAY(),"Vigente","Encerrado"))</f>
        <v>Vigente</v>
      </c>
      <c r="L60" s="8" t="n">
        <f aca="false">IF(OR(I60="",J60=""),"",ROUND((J60-I60)/30.44,1))</f>
        <v>12</v>
      </c>
      <c r="M60" s="9" t="n">
        <v>108000</v>
      </c>
      <c r="N60" s="9" t="n">
        <f aca="false">IF(OR(L60="",L60=0,M60=""),"",M60/L60)</f>
        <v>9000</v>
      </c>
      <c r="O60" s="10" t="n">
        <f aca="false">IF(OR(E60=0,N60=""),"",N60*12/E60)</f>
        <v>37.3314898029727</v>
      </c>
      <c r="P60" s="5" t="s">
        <v>167</v>
      </c>
      <c r="Q60" s="5" t="s">
        <v>100</v>
      </c>
      <c r="R60" s="5" t="s">
        <v>297</v>
      </c>
      <c r="S60" s="5" t="s">
        <v>298</v>
      </c>
    </row>
    <row r="61" customFormat="false" ht="15" hidden="false" customHeight="false" outlineLevel="0" collapsed="false">
      <c r="A61" s="11" t="s">
        <v>299</v>
      </c>
      <c r="B61" s="11" t="s">
        <v>94</v>
      </c>
      <c r="C61" s="11" t="s">
        <v>300</v>
      </c>
      <c r="D61" s="11" t="s">
        <v>96</v>
      </c>
      <c r="E61" s="12" t="n">
        <v>2499</v>
      </c>
      <c r="F61" s="11" t="s">
        <v>97</v>
      </c>
      <c r="G61" s="11" t="n">
        <v>2026</v>
      </c>
      <c r="H61" s="11" t="s">
        <v>106</v>
      </c>
      <c r="I61" s="13" t="n">
        <v>46218</v>
      </c>
      <c r="J61" s="13" t="n">
        <v>46583</v>
      </c>
      <c r="K61" s="11" t="str">
        <f aca="true">IF(J61="","",IF(J61&gt;=TODAY(),"Vigente","Encerrado"))</f>
        <v>Vigente</v>
      </c>
      <c r="L61" s="14" t="n">
        <f aca="false">IF(OR(I61="",J61=""),"",ROUND((J61-I61)/30.44,1))</f>
        <v>12</v>
      </c>
      <c r="M61" s="15" t="n">
        <v>108000</v>
      </c>
      <c r="N61" s="15" t="n">
        <f aca="false">IF(OR(L61="",L61=0,M61=""),"",M61/L61)</f>
        <v>9000</v>
      </c>
      <c r="O61" s="16" t="n">
        <f aca="false">IF(OR(E61=0,N61=""),"",N61*12/E61)</f>
        <v>43.2172869147659</v>
      </c>
      <c r="P61" s="11" t="s">
        <v>167</v>
      </c>
      <c r="Q61" s="11" t="s">
        <v>100</v>
      </c>
      <c r="R61" s="11" t="s">
        <v>301</v>
      </c>
      <c r="S61" s="11" t="s">
        <v>302</v>
      </c>
    </row>
    <row r="62" customFormat="false" ht="15" hidden="false" customHeight="false" outlineLevel="0" collapsed="false">
      <c r="A62" s="5" t="s">
        <v>303</v>
      </c>
      <c r="B62" s="5" t="s">
        <v>94</v>
      </c>
      <c r="C62" s="5" t="s">
        <v>304</v>
      </c>
      <c r="D62" s="5" t="s">
        <v>96</v>
      </c>
      <c r="E62" s="6" t="n">
        <v>3562</v>
      </c>
      <c r="F62" s="5" t="s">
        <v>97</v>
      </c>
      <c r="G62" s="5" t="n">
        <v>2026</v>
      </c>
      <c r="H62" s="5" t="s">
        <v>106</v>
      </c>
      <c r="I62" s="7" t="n">
        <v>46057</v>
      </c>
      <c r="J62" s="7" t="n">
        <v>46422</v>
      </c>
      <c r="K62" s="5" t="str">
        <f aca="true">IF(J62="","",IF(J62&gt;=TODAY(),"Vigente","Encerrado"))</f>
        <v>Vigente</v>
      </c>
      <c r="L62" s="8" t="n">
        <f aca="false">IF(OR(I62="",J62=""),"",ROUND((J62-I62)/30.44,1))</f>
        <v>12</v>
      </c>
      <c r="M62" s="9" t="n">
        <v>114000</v>
      </c>
      <c r="N62" s="9" t="n">
        <f aca="false">IF(OR(L62="",L62=0,M62=""),"",M62/L62)</f>
        <v>9500</v>
      </c>
      <c r="O62" s="10" t="n">
        <f aca="false">IF(OR(E62=0,N62=""),"",N62*12/E62)</f>
        <v>32.0044918585065</v>
      </c>
      <c r="P62" s="5" t="s">
        <v>167</v>
      </c>
      <c r="Q62" s="5" t="s">
        <v>100</v>
      </c>
      <c r="R62" s="5" t="s">
        <v>305</v>
      </c>
      <c r="S62" s="5" t="s">
        <v>306</v>
      </c>
    </row>
    <row r="63" customFormat="false" ht="15" hidden="false" customHeight="false" outlineLevel="0" collapsed="false">
      <c r="A63" s="11" t="s">
        <v>307</v>
      </c>
      <c r="B63" s="11" t="s">
        <v>94</v>
      </c>
      <c r="C63" s="11" t="s">
        <v>308</v>
      </c>
      <c r="D63" s="11" t="s">
        <v>96</v>
      </c>
      <c r="E63" s="12" t="n">
        <v>33706</v>
      </c>
      <c r="F63" s="11" t="s">
        <v>105</v>
      </c>
      <c r="G63" s="11" t="n">
        <v>2025</v>
      </c>
      <c r="H63" s="11" t="s">
        <v>111</v>
      </c>
      <c r="I63" s="13" t="n">
        <v>45789</v>
      </c>
      <c r="J63" s="13" t="n">
        <v>46022</v>
      </c>
      <c r="K63" s="11" t="str">
        <f aca="true">IF(J63="","",IF(J63&gt;=TODAY(),"Vigente","Encerrado"))</f>
        <v>Encerrado</v>
      </c>
      <c r="L63" s="14" t="n">
        <f aca="false">IF(OR(I63="",J63=""),"",ROUND((J63-I63)/30.44,1))</f>
        <v>7.7</v>
      </c>
      <c r="M63" s="15" t="n">
        <v>12000</v>
      </c>
      <c r="N63" s="15" t="n">
        <f aca="false">IF(OR(L63="",L63=0,M63=""),"",M63/L63)</f>
        <v>1558.44155844156</v>
      </c>
      <c r="O63" s="16" t="n">
        <f aca="false">IF(OR(E63=0,N63=""),"",N63*12/E63)</f>
        <v>0.554835895724758</v>
      </c>
      <c r="P63" s="11" t="s">
        <v>167</v>
      </c>
      <c r="Q63" s="11" t="s">
        <v>100</v>
      </c>
      <c r="R63" s="11" t="s">
        <v>309</v>
      </c>
      <c r="S63" s="11" t="s">
        <v>310</v>
      </c>
    </row>
    <row r="64" customFormat="false" ht="15" hidden="false" customHeight="false" outlineLevel="0" collapsed="false">
      <c r="A64" s="5" t="s">
        <v>311</v>
      </c>
      <c r="B64" s="5" t="s">
        <v>94</v>
      </c>
      <c r="C64" s="5" t="s">
        <v>312</v>
      </c>
      <c r="D64" s="5" t="s">
        <v>96</v>
      </c>
      <c r="E64" s="6" t="n">
        <v>3053</v>
      </c>
      <c r="F64" s="5" t="s">
        <v>97</v>
      </c>
      <c r="G64" s="5" t="n">
        <v>2025</v>
      </c>
      <c r="H64" s="5" t="s">
        <v>106</v>
      </c>
      <c r="I64" s="7" t="n">
        <v>45887</v>
      </c>
      <c r="J64" s="7" t="n">
        <v>46252</v>
      </c>
      <c r="K64" s="5" t="str">
        <f aca="true">IF(J64="","",IF(J64&gt;=TODAY(),"Vigente","Encerrado"))</f>
        <v>Encerrado</v>
      </c>
      <c r="L64" s="8" t="n">
        <f aca="false">IF(OR(I64="",J64=""),"",ROUND((J64-I64)/30.44,1))</f>
        <v>12</v>
      </c>
      <c r="M64" s="9" t="n">
        <v>99600</v>
      </c>
      <c r="N64" s="9" t="n">
        <f aca="false">IF(OR(L64="",L64=0,M64=""),"",M64/L64)</f>
        <v>8300</v>
      </c>
      <c r="O64" s="10" t="n">
        <f aca="false">IF(OR(E64=0,N64=""),"",N64*12/E64)</f>
        <v>32.623648869964</v>
      </c>
      <c r="P64" s="5" t="s">
        <v>167</v>
      </c>
      <c r="Q64" s="5" t="s">
        <v>100</v>
      </c>
      <c r="R64" s="5" t="s">
        <v>313</v>
      </c>
      <c r="S64" s="5" t="s">
        <v>314</v>
      </c>
    </row>
    <row r="65" customFormat="false" ht="15" hidden="false" customHeight="false" outlineLevel="0" collapsed="false">
      <c r="A65" s="11" t="s">
        <v>315</v>
      </c>
      <c r="B65" s="11" t="s">
        <v>94</v>
      </c>
      <c r="C65" s="11" t="s">
        <v>316</v>
      </c>
      <c r="D65" s="11" t="s">
        <v>96</v>
      </c>
      <c r="E65" s="12" t="n">
        <v>3568</v>
      </c>
      <c r="F65" s="11" t="s">
        <v>97</v>
      </c>
      <c r="G65" s="11" t="n">
        <v>2026</v>
      </c>
      <c r="H65" s="11" t="s">
        <v>106</v>
      </c>
      <c r="I65" s="13" t="n">
        <v>46153</v>
      </c>
      <c r="J65" s="13" t="n">
        <v>46518</v>
      </c>
      <c r="K65" s="11" t="str">
        <f aca="true">IF(J65="","",IF(J65&gt;=TODAY(),"Vigente","Encerrado"))</f>
        <v>Vigente</v>
      </c>
      <c r="L65" s="14" t="n">
        <f aca="false">IF(OR(I65="",J65=""),"",ROUND((J65-I65)/30.44,1))</f>
        <v>12</v>
      </c>
      <c r="M65" s="15" t="n">
        <v>114000</v>
      </c>
      <c r="N65" s="15" t="n">
        <f aca="false">IF(OR(L65="",L65=0,M65=""),"",M65/L65)</f>
        <v>9500</v>
      </c>
      <c r="O65" s="16" t="n">
        <f aca="false">IF(OR(E65=0,N65=""),"",N65*12/E65)</f>
        <v>31.9506726457399</v>
      </c>
      <c r="P65" s="11" t="s">
        <v>167</v>
      </c>
      <c r="Q65" s="11" t="s">
        <v>100</v>
      </c>
      <c r="R65" s="11" t="s">
        <v>317</v>
      </c>
      <c r="S65" s="11" t="s">
        <v>318</v>
      </c>
    </row>
    <row r="66" customFormat="false" ht="15" hidden="false" customHeight="false" outlineLevel="0" collapsed="false">
      <c r="A66" s="5" t="s">
        <v>319</v>
      </c>
      <c r="B66" s="5" t="s">
        <v>94</v>
      </c>
      <c r="C66" s="5" t="s">
        <v>320</v>
      </c>
      <c r="D66" s="5" t="s">
        <v>96</v>
      </c>
      <c r="E66" s="6" t="n">
        <v>4108</v>
      </c>
      <c r="F66" s="5" t="s">
        <v>97</v>
      </c>
      <c r="G66" s="5" t="n">
        <v>2026</v>
      </c>
      <c r="H66" s="5" t="s">
        <v>111</v>
      </c>
      <c r="I66" s="7" t="n">
        <v>46150</v>
      </c>
      <c r="J66" s="7" t="n">
        <v>46295</v>
      </c>
      <c r="K66" s="5" t="str">
        <f aca="true">IF(J66="","",IF(J66&gt;=TODAY(),"Vigente","Encerrado"))</f>
        <v>Vigente</v>
      </c>
      <c r="L66" s="8" t="n">
        <f aca="false">IF(OR(I66="",J66=""),"",ROUND((J66-I66)/30.44,1))</f>
        <v>4.8</v>
      </c>
      <c r="M66" s="9" t="n">
        <v>47666.66</v>
      </c>
      <c r="N66" s="9" t="n">
        <f aca="false">IF(OR(L66="",L66=0,M66=""),"",M66/L66)</f>
        <v>9930.55416666667</v>
      </c>
      <c r="O66" s="10" t="n">
        <f aca="false">IF(OR(E66=0,N66=""),"",N66*12/E66)</f>
        <v>29.0084347614411</v>
      </c>
      <c r="P66" s="5" t="s">
        <v>167</v>
      </c>
      <c r="Q66" s="5" t="s">
        <v>100</v>
      </c>
      <c r="R66" s="5" t="s">
        <v>321</v>
      </c>
      <c r="S66" s="5" t="s">
        <v>322</v>
      </c>
    </row>
    <row r="67" customFormat="false" ht="15" hidden="false" customHeight="false" outlineLevel="0" collapsed="false">
      <c r="A67" s="11" t="s">
        <v>323</v>
      </c>
      <c r="B67" s="11" t="s">
        <v>94</v>
      </c>
      <c r="C67" s="11" t="s">
        <v>324</v>
      </c>
      <c r="D67" s="11" t="s">
        <v>96</v>
      </c>
      <c r="E67" s="12" t="n">
        <v>36692</v>
      </c>
      <c r="F67" s="11" t="s">
        <v>105</v>
      </c>
      <c r="G67" s="11" t="n">
        <v>2026</v>
      </c>
      <c r="H67" s="11" t="s">
        <v>111</v>
      </c>
      <c r="I67" s="13" t="n">
        <v>46147</v>
      </c>
      <c r="J67" s="13" t="n">
        <v>46511</v>
      </c>
      <c r="K67" s="11" t="str">
        <f aca="true">IF(J67="","",IF(J67&gt;=TODAY(),"Vigente","Encerrado"))</f>
        <v>Vigente</v>
      </c>
      <c r="L67" s="14" t="n">
        <f aca="false">IF(OR(I67="",J67=""),"",ROUND((J67-I67)/30.44,1))</f>
        <v>12</v>
      </c>
      <c r="M67" s="15" t="n">
        <v>54960</v>
      </c>
      <c r="N67" s="15" t="n">
        <f aca="false">IF(OR(L67="",L67=0,M67=""),"",M67/L67)</f>
        <v>4580</v>
      </c>
      <c r="O67" s="16" t="n">
        <f aca="false">IF(OR(E67=0,N67=""),"",N67*12/E67)</f>
        <v>1.49787419601003</v>
      </c>
      <c r="P67" s="11" t="s">
        <v>167</v>
      </c>
      <c r="Q67" s="11" t="s">
        <v>100</v>
      </c>
      <c r="R67" s="11" t="s">
        <v>325</v>
      </c>
      <c r="S67" s="11" t="s">
        <v>326</v>
      </c>
    </row>
    <row r="68" customFormat="false" ht="15" hidden="false" customHeight="false" outlineLevel="0" collapsed="false">
      <c r="A68" s="5" t="s">
        <v>323</v>
      </c>
      <c r="B68" s="5" t="s">
        <v>94</v>
      </c>
      <c r="C68" s="5" t="s">
        <v>324</v>
      </c>
      <c r="D68" s="5" t="s">
        <v>96</v>
      </c>
      <c r="E68" s="6" t="n">
        <v>36692</v>
      </c>
      <c r="F68" s="5" t="s">
        <v>105</v>
      </c>
      <c r="G68" s="5" t="n">
        <v>2021</v>
      </c>
      <c r="H68" s="5" t="s">
        <v>111</v>
      </c>
      <c r="I68" s="7" t="n">
        <v>44300</v>
      </c>
      <c r="J68" s="7" t="n">
        <v>44665</v>
      </c>
      <c r="K68" s="5" t="str">
        <f aca="true">IF(J68="","",IF(J68&gt;=TODAY(),"Vigente","Encerrado"))</f>
        <v>Encerrado</v>
      </c>
      <c r="L68" s="8" t="n">
        <f aca="false">IF(OR(I68="",J68=""),"",ROUND((J68-I68)/30.44,1))</f>
        <v>12</v>
      </c>
      <c r="M68" s="9" t="n">
        <v>39000</v>
      </c>
      <c r="N68" s="9" t="n">
        <f aca="false">IF(OR(L68="",L68=0,M68=""),"",M68/L68)</f>
        <v>3250</v>
      </c>
      <c r="O68" s="10" t="n">
        <f aca="false">IF(OR(E68=0,N68=""),"",N68*12/E68)</f>
        <v>1.06290199498528</v>
      </c>
      <c r="P68" s="5" t="s">
        <v>167</v>
      </c>
      <c r="Q68" s="5" t="s">
        <v>100</v>
      </c>
      <c r="R68" s="5" t="s">
        <v>327</v>
      </c>
      <c r="S68" s="5" t="s">
        <v>328</v>
      </c>
    </row>
    <row r="69" customFormat="false" ht="15" hidden="false" customHeight="false" outlineLevel="0" collapsed="false">
      <c r="A69" s="11" t="s">
        <v>329</v>
      </c>
      <c r="B69" s="11" t="s">
        <v>94</v>
      </c>
      <c r="C69" s="11" t="s">
        <v>324</v>
      </c>
      <c r="D69" s="11" t="s">
        <v>96</v>
      </c>
      <c r="E69" s="12" t="n">
        <v>36692</v>
      </c>
      <c r="F69" s="11" t="s">
        <v>105</v>
      </c>
      <c r="G69" s="11" t="n">
        <v>2026</v>
      </c>
      <c r="H69" s="11" t="s">
        <v>106</v>
      </c>
      <c r="I69" s="13" t="n">
        <v>46036</v>
      </c>
      <c r="J69" s="13" t="n">
        <v>46400</v>
      </c>
      <c r="K69" s="11" t="str">
        <f aca="true">IF(J69="","",IF(J69&gt;=TODAY(),"Vigente","Encerrado"))</f>
        <v>Vigente</v>
      </c>
      <c r="L69" s="14" t="n">
        <f aca="false">IF(OR(I69="",J69=""),"",ROUND((J69-I69)/30.44,1))</f>
        <v>12</v>
      </c>
      <c r="M69" s="15" t="n">
        <v>147336</v>
      </c>
      <c r="N69" s="15" t="n">
        <f aca="false">IF(OR(L69="",L69=0,M69=""),"",M69/L69)</f>
        <v>12278</v>
      </c>
      <c r="O69" s="16" t="n">
        <f aca="false">IF(OR(E69=0,N69=""),"",N69*12/E69)</f>
        <v>4.01548021367056</v>
      </c>
      <c r="P69" s="11" t="s">
        <v>167</v>
      </c>
      <c r="Q69" s="11" t="s">
        <v>100</v>
      </c>
      <c r="R69" s="11" t="s">
        <v>330</v>
      </c>
      <c r="S69" s="11" t="s">
        <v>331</v>
      </c>
    </row>
    <row r="70" customFormat="false" ht="15" hidden="false" customHeight="false" outlineLevel="0" collapsed="false">
      <c r="A70" s="5" t="s">
        <v>332</v>
      </c>
      <c r="B70" s="5" t="s">
        <v>94</v>
      </c>
      <c r="C70" s="5" t="s">
        <v>333</v>
      </c>
      <c r="D70" s="5" t="s">
        <v>96</v>
      </c>
      <c r="E70" s="6" t="n">
        <v>10749</v>
      </c>
      <c r="F70" s="5" t="s">
        <v>97</v>
      </c>
      <c r="G70" s="5" t="n">
        <v>2025</v>
      </c>
      <c r="H70" s="5" t="s">
        <v>106</v>
      </c>
      <c r="I70" s="7" t="n">
        <v>45903</v>
      </c>
      <c r="J70" s="7" t="n">
        <v>46268</v>
      </c>
      <c r="K70" s="5" t="str">
        <f aca="true">IF(J70="","",IF(J70&gt;=TODAY(),"Vigente","Encerrado"))</f>
        <v>Encerrado</v>
      </c>
      <c r="L70" s="8" t="n">
        <f aca="false">IF(OR(I70="",J70=""),"",ROUND((J70-I70)/30.44,1))</f>
        <v>12</v>
      </c>
      <c r="M70" s="9" t="n">
        <v>141908.72</v>
      </c>
      <c r="N70" s="9" t="n">
        <f aca="false">IF(OR(L70="",L70=0,M70=""),"",M70/L70)</f>
        <v>11825.7266666667</v>
      </c>
      <c r="O70" s="10" t="n">
        <f aca="false">IF(OR(E70=0,N70=""),"",N70*12/E70)</f>
        <v>13.202039259466</v>
      </c>
      <c r="P70" s="5" t="s">
        <v>167</v>
      </c>
      <c r="Q70" s="5" t="s">
        <v>100</v>
      </c>
      <c r="R70" s="5" t="s">
        <v>334</v>
      </c>
      <c r="S70" s="5" t="s">
        <v>335</v>
      </c>
    </row>
    <row r="71" customFormat="false" ht="15" hidden="false" customHeight="false" outlineLevel="0" collapsed="false">
      <c r="A71" s="11" t="s">
        <v>332</v>
      </c>
      <c r="B71" s="11" t="s">
        <v>94</v>
      </c>
      <c r="C71" s="11" t="s">
        <v>333</v>
      </c>
      <c r="D71" s="11" t="s">
        <v>96</v>
      </c>
      <c r="E71" s="12" t="n">
        <v>10749</v>
      </c>
      <c r="F71" s="11" t="s">
        <v>97</v>
      </c>
      <c r="G71" s="11" t="n">
        <v>2025</v>
      </c>
      <c r="H71" s="11" t="s">
        <v>111</v>
      </c>
      <c r="I71" s="13" t="n">
        <v>45810</v>
      </c>
      <c r="J71" s="13" t="n">
        <v>45902</v>
      </c>
      <c r="K71" s="11" t="str">
        <f aca="true">IF(J71="","",IF(J71&gt;=TODAY(),"Vigente","Encerrado"))</f>
        <v>Encerrado</v>
      </c>
      <c r="L71" s="14" t="n">
        <f aca="false">IF(OR(I71="",J71=""),"",ROUND((J71-I71)/30.44,1))</f>
        <v>3</v>
      </c>
      <c r="M71" s="15" t="n">
        <v>37800</v>
      </c>
      <c r="N71" s="15" t="n">
        <f aca="false">IF(OR(L71="",L71=0,M71=""),"",M71/L71)</f>
        <v>12600</v>
      </c>
      <c r="O71" s="16" t="n">
        <f aca="false">IF(OR(E71=0,N71=""),"",N71*12/E71)</f>
        <v>14.0664247837008</v>
      </c>
      <c r="P71" s="11" t="s">
        <v>167</v>
      </c>
      <c r="Q71" s="11" t="s">
        <v>100</v>
      </c>
      <c r="R71" s="11" t="s">
        <v>336</v>
      </c>
      <c r="S71" s="11" t="s">
        <v>337</v>
      </c>
    </row>
    <row r="72" customFormat="false" ht="15" hidden="false" customHeight="false" outlineLevel="0" collapsed="false">
      <c r="A72" s="5" t="s">
        <v>338</v>
      </c>
      <c r="B72" s="5" t="s">
        <v>94</v>
      </c>
      <c r="C72" s="5" t="s">
        <v>339</v>
      </c>
      <c r="D72" s="5" t="s">
        <v>137</v>
      </c>
      <c r="E72" s="6" t="n">
        <v>14731</v>
      </c>
      <c r="F72" s="5" t="s">
        <v>97</v>
      </c>
      <c r="G72" s="5" t="n">
        <v>2026</v>
      </c>
      <c r="H72" s="5" t="s">
        <v>106</v>
      </c>
      <c r="I72" s="7" t="n">
        <v>46204</v>
      </c>
      <c r="J72" s="7" t="n">
        <v>47118</v>
      </c>
      <c r="K72" s="5" t="str">
        <f aca="true">IF(J72="","",IF(J72&gt;=TODAY(),"Vigente","Encerrado"))</f>
        <v>Vigente</v>
      </c>
      <c r="L72" s="8" t="n">
        <f aca="false">IF(OR(I72="",J72=""),"",ROUND((J72-I72)/30.44,1))</f>
        <v>30</v>
      </c>
      <c r="M72" s="9" t="n">
        <v>177000</v>
      </c>
      <c r="N72" s="9" t="n">
        <f aca="false">IF(OR(L72="",L72=0,M72=""),"",M72/L72)</f>
        <v>5900</v>
      </c>
      <c r="O72" s="10" t="n">
        <f aca="false">IF(OR(E72=0,N72=""),"",N72*12/E72)</f>
        <v>4.80619102572806</v>
      </c>
      <c r="P72" s="5" t="s">
        <v>195</v>
      </c>
      <c r="Q72" s="5" t="s">
        <v>100</v>
      </c>
      <c r="R72" s="5" t="s">
        <v>340</v>
      </c>
      <c r="S72" s="5" t="s">
        <v>341</v>
      </c>
    </row>
    <row r="73" customFormat="false" ht="15" hidden="false" customHeight="false" outlineLevel="0" collapsed="false">
      <c r="A73" s="11" t="s">
        <v>338</v>
      </c>
      <c r="B73" s="11" t="s">
        <v>94</v>
      </c>
      <c r="C73" s="11" t="s">
        <v>339</v>
      </c>
      <c r="D73" s="11" t="s">
        <v>137</v>
      </c>
      <c r="E73" s="12" t="n">
        <v>14731</v>
      </c>
      <c r="F73" s="11" t="s">
        <v>97</v>
      </c>
      <c r="G73" s="11" t="n">
        <v>2026</v>
      </c>
      <c r="H73" s="11" t="s">
        <v>106</v>
      </c>
      <c r="I73" s="13" t="n">
        <v>46204</v>
      </c>
      <c r="J73" s="13" t="n">
        <v>47118</v>
      </c>
      <c r="K73" s="11" t="str">
        <f aca="true">IF(J73="","",IF(J73&gt;=TODAY(),"Vigente","Encerrado"))</f>
        <v>Vigente</v>
      </c>
      <c r="L73" s="14" t="n">
        <f aca="false">IF(OR(I73="",J73=""),"",ROUND((J73-I73)/30.44,1))</f>
        <v>30</v>
      </c>
      <c r="M73" s="15" t="n">
        <v>90000</v>
      </c>
      <c r="N73" s="15" t="n">
        <f aca="false">IF(OR(L73="",L73=0,M73=""),"",M73/L73)</f>
        <v>3000</v>
      </c>
      <c r="O73" s="16" t="n">
        <f aca="false">IF(OR(E73=0,N73=""),"",N73*12/E73)</f>
        <v>2.44382594528545</v>
      </c>
      <c r="P73" s="11" t="s">
        <v>195</v>
      </c>
      <c r="Q73" s="11" t="s">
        <v>100</v>
      </c>
      <c r="R73" s="11" t="s">
        <v>342</v>
      </c>
      <c r="S73" s="11" t="s">
        <v>343</v>
      </c>
    </row>
    <row r="74" customFormat="false" ht="15" hidden="false" customHeight="false" outlineLevel="0" collapsed="false">
      <c r="A74" s="5" t="s">
        <v>338</v>
      </c>
      <c r="B74" s="5" t="s">
        <v>94</v>
      </c>
      <c r="C74" s="5" t="s">
        <v>339</v>
      </c>
      <c r="D74" s="5" t="s">
        <v>137</v>
      </c>
      <c r="E74" s="6" t="n">
        <v>14731</v>
      </c>
      <c r="F74" s="5" t="s">
        <v>97</v>
      </c>
      <c r="G74" s="5" t="n">
        <v>2026</v>
      </c>
      <c r="H74" s="5" t="s">
        <v>106</v>
      </c>
      <c r="I74" s="7" t="n">
        <v>46204</v>
      </c>
      <c r="J74" s="7" t="n">
        <v>47118</v>
      </c>
      <c r="K74" s="5" t="str">
        <f aca="true">IF(J74="","",IF(J74&gt;=TODAY(),"Vigente","Encerrado"))</f>
        <v>Vigente</v>
      </c>
      <c r="L74" s="8" t="n">
        <f aca="false">IF(OR(I74="",J74=""),"",ROUND((J74-I74)/30.44,1))</f>
        <v>30</v>
      </c>
      <c r="M74" s="9" t="n">
        <v>93000</v>
      </c>
      <c r="N74" s="9" t="n">
        <f aca="false">IF(OR(L74="",L74=0,M74=""),"",M74/L74)</f>
        <v>3100</v>
      </c>
      <c r="O74" s="10" t="n">
        <f aca="false">IF(OR(E74=0,N74=""),"",N74*12/E74)</f>
        <v>2.5252868101283</v>
      </c>
      <c r="P74" s="5" t="s">
        <v>195</v>
      </c>
      <c r="Q74" s="5" t="s">
        <v>100</v>
      </c>
      <c r="R74" s="5" t="s">
        <v>344</v>
      </c>
      <c r="S74" s="5" t="s">
        <v>345</v>
      </c>
    </row>
    <row r="75" customFormat="false" ht="15" hidden="false" customHeight="false" outlineLevel="0" collapsed="false">
      <c r="A75" s="11" t="s">
        <v>338</v>
      </c>
      <c r="B75" s="11" t="s">
        <v>94</v>
      </c>
      <c r="C75" s="11" t="s">
        <v>339</v>
      </c>
      <c r="D75" s="11" t="s">
        <v>137</v>
      </c>
      <c r="E75" s="12" t="n">
        <v>14731</v>
      </c>
      <c r="F75" s="11" t="s">
        <v>97</v>
      </c>
      <c r="G75" s="11" t="n">
        <v>2026</v>
      </c>
      <c r="H75" s="11" t="s">
        <v>106</v>
      </c>
      <c r="I75" s="13" t="n">
        <v>46204</v>
      </c>
      <c r="J75" s="13" t="n">
        <v>47118</v>
      </c>
      <c r="K75" s="11" t="str">
        <f aca="true">IF(J75="","",IF(J75&gt;=TODAY(),"Vigente","Encerrado"))</f>
        <v>Vigente</v>
      </c>
      <c r="L75" s="14" t="n">
        <f aca="false">IF(OR(I75="",J75=""),"",ROUND((J75-I75)/30.44,1))</f>
        <v>30</v>
      </c>
      <c r="M75" s="15" t="n">
        <v>90000</v>
      </c>
      <c r="N75" s="15" t="n">
        <f aca="false">IF(OR(L75="",L75=0,M75=""),"",M75/L75)</f>
        <v>3000</v>
      </c>
      <c r="O75" s="16" t="n">
        <f aca="false">IF(OR(E75=0,N75=""),"",N75*12/E75)</f>
        <v>2.44382594528545</v>
      </c>
      <c r="P75" s="11" t="s">
        <v>195</v>
      </c>
      <c r="Q75" s="11" t="s">
        <v>100</v>
      </c>
      <c r="R75" s="11" t="s">
        <v>346</v>
      </c>
      <c r="S75" s="11" t="s">
        <v>347</v>
      </c>
    </row>
    <row r="76" customFormat="false" ht="15" hidden="false" customHeight="false" outlineLevel="0" collapsed="false">
      <c r="A76" s="5" t="s">
        <v>348</v>
      </c>
      <c r="B76" s="5" t="s">
        <v>94</v>
      </c>
      <c r="C76" s="5" t="s">
        <v>349</v>
      </c>
      <c r="D76" s="5" t="s">
        <v>137</v>
      </c>
      <c r="E76" s="6" t="n">
        <v>9438</v>
      </c>
      <c r="F76" s="5" t="s">
        <v>97</v>
      </c>
      <c r="G76" s="5" t="n">
        <v>2026</v>
      </c>
      <c r="H76" s="5" t="s">
        <v>98</v>
      </c>
      <c r="I76" s="7" t="n">
        <v>46112</v>
      </c>
      <c r="J76" s="7" t="n">
        <v>46476</v>
      </c>
      <c r="K76" s="5" t="str">
        <f aca="true">IF(J76="","",IF(J76&gt;=TODAY(),"Vigente","Encerrado"))</f>
        <v>Vigente</v>
      </c>
      <c r="L76" s="8" t="n">
        <f aca="false">IF(OR(I76="",J76=""),"",ROUND((J76-I76)/30.44,1))</f>
        <v>12</v>
      </c>
      <c r="M76" s="9" t="n">
        <v>57528</v>
      </c>
      <c r="N76" s="9" t="n">
        <f aca="false">IF(OR(L76="",L76=0,M76=""),"",M76/L76)</f>
        <v>4794</v>
      </c>
      <c r="O76" s="10" t="n">
        <f aca="false">IF(OR(E76=0,N76=""),"",N76*12/E76)</f>
        <v>6.09535918626828</v>
      </c>
      <c r="P76" s="5" t="s">
        <v>195</v>
      </c>
      <c r="Q76" s="5" t="s">
        <v>100</v>
      </c>
      <c r="R76" s="5" t="s">
        <v>350</v>
      </c>
      <c r="S76" s="5" t="s">
        <v>351</v>
      </c>
    </row>
    <row r="77" customFormat="false" ht="15" hidden="false" customHeight="false" outlineLevel="0" collapsed="false">
      <c r="A77" s="11" t="s">
        <v>352</v>
      </c>
      <c r="B77" s="11" t="s">
        <v>94</v>
      </c>
      <c r="C77" s="11" t="s">
        <v>353</v>
      </c>
      <c r="D77" s="11" t="s">
        <v>96</v>
      </c>
      <c r="E77" s="12" t="n">
        <v>9577</v>
      </c>
      <c r="F77" s="11" t="s">
        <v>97</v>
      </c>
      <c r="G77" s="11" t="n">
        <v>2025</v>
      </c>
      <c r="H77" s="11" t="s">
        <v>98</v>
      </c>
      <c r="I77" s="13" t="n">
        <v>45901</v>
      </c>
      <c r="J77" s="13" t="n">
        <v>46022</v>
      </c>
      <c r="K77" s="11" t="str">
        <f aca="true">IF(J77="","",IF(J77&gt;=TODAY(),"Vigente","Encerrado"))</f>
        <v>Encerrado</v>
      </c>
      <c r="L77" s="14" t="n">
        <f aca="false">IF(OR(I77="",J77=""),"",ROUND((J77-I77)/30.44,1))</f>
        <v>4</v>
      </c>
      <c r="M77" s="15" t="n">
        <v>34400</v>
      </c>
      <c r="N77" s="15" t="n">
        <f aca="false">IF(OR(L77="",L77=0,M77=""),"",M77/L77)</f>
        <v>8600</v>
      </c>
      <c r="O77" s="16" t="n">
        <f aca="false">IF(OR(E77=0,N77=""),"",N77*12/E77)</f>
        <v>10.7758170617103</v>
      </c>
      <c r="P77" s="11" t="s">
        <v>167</v>
      </c>
      <c r="Q77" s="11" t="s">
        <v>100</v>
      </c>
      <c r="R77" s="11" t="s">
        <v>354</v>
      </c>
      <c r="S77" s="11" t="s">
        <v>355</v>
      </c>
    </row>
    <row r="78" customFormat="false" ht="15" hidden="false" customHeight="false" outlineLevel="0" collapsed="false">
      <c r="A78" s="5" t="s">
        <v>356</v>
      </c>
      <c r="B78" s="5" t="s">
        <v>94</v>
      </c>
      <c r="C78" s="5" t="s">
        <v>357</v>
      </c>
      <c r="D78" s="5" t="s">
        <v>96</v>
      </c>
      <c r="E78" s="6" t="n">
        <v>18685</v>
      </c>
      <c r="F78" s="5" t="s">
        <v>97</v>
      </c>
      <c r="G78" s="5" t="n">
        <v>2025</v>
      </c>
      <c r="H78" s="5" t="s">
        <v>98</v>
      </c>
      <c r="I78" s="7" t="n">
        <v>45754</v>
      </c>
      <c r="J78" s="7" t="n">
        <v>46118</v>
      </c>
      <c r="K78" s="5" t="str">
        <f aca="true">IF(J78="","",IF(J78&gt;=TODAY(),"Vigente","Encerrado"))</f>
        <v>Encerrado</v>
      </c>
      <c r="L78" s="8" t="n">
        <f aca="false">IF(OR(I78="",J78=""),"",ROUND((J78-I78)/30.44,1))</f>
        <v>12</v>
      </c>
      <c r="M78" s="9" t="n">
        <v>192000</v>
      </c>
      <c r="N78" s="9" t="n">
        <f aca="false">IF(OR(L78="",L78=0,M78=""),"",M78/L78)</f>
        <v>16000</v>
      </c>
      <c r="O78" s="10" t="n">
        <f aca="false">IF(OR(E78=0,N78=""),"",N78*12/E78)</f>
        <v>10.2756221568103</v>
      </c>
      <c r="P78" s="5" t="s">
        <v>167</v>
      </c>
      <c r="Q78" s="5" t="s">
        <v>100</v>
      </c>
      <c r="R78" s="5" t="s">
        <v>358</v>
      </c>
      <c r="S78" s="5" t="s">
        <v>359</v>
      </c>
    </row>
    <row r="79" customFormat="false" ht="15" hidden="false" customHeight="false" outlineLevel="0" collapsed="false">
      <c r="A79" s="11" t="s">
        <v>360</v>
      </c>
      <c r="B79" s="11" t="s">
        <v>94</v>
      </c>
      <c r="C79" s="11" t="s">
        <v>361</v>
      </c>
      <c r="D79" s="11" t="s">
        <v>137</v>
      </c>
      <c r="E79" s="12" t="n">
        <v>7842</v>
      </c>
      <c r="F79" s="11" t="s">
        <v>97</v>
      </c>
      <c r="G79" s="11" t="n">
        <v>2025</v>
      </c>
      <c r="H79" s="11" t="s">
        <v>106</v>
      </c>
      <c r="I79" s="13" t="n">
        <v>45798</v>
      </c>
      <c r="J79" s="13" t="n">
        <v>46163</v>
      </c>
      <c r="K79" s="11" t="str">
        <f aca="true">IF(J79="","",IF(J79&gt;=TODAY(),"Vigente","Encerrado"))</f>
        <v>Encerrado</v>
      </c>
      <c r="L79" s="14" t="n">
        <f aca="false">IF(OR(I79="",J79=""),"",ROUND((J79-I79)/30.44,1))</f>
        <v>12</v>
      </c>
      <c r="M79" s="15" t="n">
        <v>84000</v>
      </c>
      <c r="N79" s="15" t="n">
        <f aca="false">IF(OR(L79="",L79=0,M79=""),"",M79/L79)</f>
        <v>7000</v>
      </c>
      <c r="O79" s="16" t="n">
        <f aca="false">IF(OR(E79=0,N79=""),"",N79*12/E79)</f>
        <v>10.7115531752104</v>
      </c>
      <c r="P79" s="11" t="s">
        <v>167</v>
      </c>
      <c r="Q79" s="11" t="s">
        <v>100</v>
      </c>
      <c r="R79" s="11" t="s">
        <v>362</v>
      </c>
      <c r="S79" s="11" t="s">
        <v>363</v>
      </c>
    </row>
    <row r="80" customFormat="false" ht="15" hidden="false" customHeight="false" outlineLevel="0" collapsed="false">
      <c r="A80" s="5" t="s">
        <v>364</v>
      </c>
      <c r="B80" s="5" t="s">
        <v>94</v>
      </c>
      <c r="C80" s="5" t="s">
        <v>365</v>
      </c>
      <c r="D80" s="5" t="s">
        <v>96</v>
      </c>
      <c r="E80" s="6" t="n">
        <v>45400</v>
      </c>
      <c r="F80" s="5" t="s">
        <v>105</v>
      </c>
      <c r="G80" s="5" t="n">
        <v>2026</v>
      </c>
      <c r="H80" s="5" t="s">
        <v>111</v>
      </c>
      <c r="I80" s="7" t="n">
        <v>46248</v>
      </c>
      <c r="J80" s="7" t="n">
        <v>46431</v>
      </c>
      <c r="K80" s="5" t="str">
        <f aca="true">IF(J80="","",IF(J80&gt;=TODAY(),"Vigente","Encerrado"))</f>
        <v>Vigente</v>
      </c>
      <c r="L80" s="8" t="n">
        <f aca="false">IF(OR(I80="",J80=""),"",ROUND((J80-I80)/30.44,1))</f>
        <v>6</v>
      </c>
      <c r="M80" s="9" t="n">
        <v>156000</v>
      </c>
      <c r="N80" s="9" t="n">
        <f aca="false">IF(OR(L80="",L80=0,M80=""),"",M80/L80)</f>
        <v>26000</v>
      </c>
      <c r="O80" s="10" t="n">
        <f aca="false">IF(OR(E80=0,N80=""),"",N80*12/E80)</f>
        <v>6.87224669603524</v>
      </c>
      <c r="P80" s="5" t="s">
        <v>167</v>
      </c>
      <c r="Q80" s="5" t="s">
        <v>100</v>
      </c>
      <c r="R80" s="5" t="s">
        <v>366</v>
      </c>
      <c r="S80" s="5" t="s">
        <v>367</v>
      </c>
    </row>
    <row r="81" customFormat="false" ht="15" hidden="false" customHeight="false" outlineLevel="0" collapsed="false">
      <c r="A81" s="11" t="s">
        <v>368</v>
      </c>
      <c r="B81" s="11" t="s">
        <v>94</v>
      </c>
      <c r="C81" s="11" t="s">
        <v>369</v>
      </c>
      <c r="D81" s="11" t="s">
        <v>96</v>
      </c>
      <c r="E81" s="12" t="n">
        <v>12551</v>
      </c>
      <c r="F81" s="11" t="s">
        <v>97</v>
      </c>
      <c r="G81" s="11" t="n">
        <v>2026</v>
      </c>
      <c r="H81" s="11" t="s">
        <v>111</v>
      </c>
      <c r="I81" s="13" t="n">
        <v>46183</v>
      </c>
      <c r="J81" s="13" t="n">
        <v>46305</v>
      </c>
      <c r="K81" s="11" t="str">
        <f aca="true">IF(J81="","",IF(J81&gt;=TODAY(),"Vigente","Encerrado"))</f>
        <v>Vigente</v>
      </c>
      <c r="L81" s="14" t="n">
        <f aca="false">IF(OR(I81="",J81=""),"",ROUND((J81-I81)/30.44,1))</f>
        <v>4</v>
      </c>
      <c r="M81" s="15" t="n">
        <v>44000</v>
      </c>
      <c r="N81" s="15" t="n">
        <f aca="false">IF(OR(L81="",L81=0,M81=""),"",M81/L81)</f>
        <v>11000</v>
      </c>
      <c r="O81" s="16" t="n">
        <f aca="false">IF(OR(E81=0,N81=""),"",N81*12/E81)</f>
        <v>10.5170902716915</v>
      </c>
      <c r="P81" s="11" t="s">
        <v>167</v>
      </c>
      <c r="Q81" s="11" t="s">
        <v>100</v>
      </c>
      <c r="R81" s="11" t="s">
        <v>370</v>
      </c>
      <c r="S81" s="11" t="s">
        <v>371</v>
      </c>
    </row>
    <row r="82" customFormat="false" ht="15" hidden="false" customHeight="false" outlineLevel="0" collapsed="false">
      <c r="A82" s="5" t="s">
        <v>156</v>
      </c>
      <c r="B82" s="5" t="s">
        <v>94</v>
      </c>
      <c r="C82" s="5" t="s">
        <v>157</v>
      </c>
      <c r="D82" s="5" t="s">
        <v>96</v>
      </c>
      <c r="E82" s="6" t="n">
        <v>20132</v>
      </c>
      <c r="F82" s="5" t="s">
        <v>105</v>
      </c>
      <c r="G82" s="5" t="n">
        <v>2024</v>
      </c>
      <c r="H82" s="5" t="s">
        <v>111</v>
      </c>
      <c r="I82" s="7" t="n">
        <v>45292</v>
      </c>
      <c r="J82" s="7" t="n">
        <v>45657</v>
      </c>
      <c r="K82" s="5" t="str">
        <f aca="true">IF(J82="","",IF(J82&gt;=TODAY(),"Vigente","Encerrado"))</f>
        <v>Encerrado</v>
      </c>
      <c r="L82" s="8" t="n">
        <f aca="false">IF(OR(I82="",J82=""),"",ROUND((J82-I82)/30.44,1))</f>
        <v>12</v>
      </c>
      <c r="M82" s="9" t="n">
        <v>15600</v>
      </c>
      <c r="N82" s="9" t="n">
        <f aca="false">IF(OR(L82="",L82=0,M82=""),"",M82/L82)</f>
        <v>1300</v>
      </c>
      <c r="O82" s="10" t="n">
        <f aca="false">IF(OR(E82=0,N82=""),"",N82*12/E82)</f>
        <v>0.774885754023445</v>
      </c>
      <c r="P82" s="5" t="s">
        <v>167</v>
      </c>
      <c r="Q82" s="5" t="s">
        <v>100</v>
      </c>
      <c r="R82" s="5" t="s">
        <v>372</v>
      </c>
      <c r="S82" s="5" t="s">
        <v>373</v>
      </c>
    </row>
    <row r="83" customFormat="false" ht="15" hidden="false" customHeight="false" outlineLevel="0" collapsed="false">
      <c r="A83" s="11" t="s">
        <v>374</v>
      </c>
      <c r="B83" s="11" t="s">
        <v>94</v>
      </c>
      <c r="C83" s="11" t="s">
        <v>375</v>
      </c>
      <c r="D83" s="11" t="s">
        <v>96</v>
      </c>
      <c r="E83" s="12" t="n">
        <v>5036</v>
      </c>
      <c r="F83" s="11" t="s">
        <v>97</v>
      </c>
      <c r="G83" s="11" t="n">
        <v>2025</v>
      </c>
      <c r="H83" s="11" t="s">
        <v>106</v>
      </c>
      <c r="I83" s="13" t="n">
        <v>45820</v>
      </c>
      <c r="J83" s="13" t="n">
        <v>46022</v>
      </c>
      <c r="K83" s="11" t="str">
        <f aca="true">IF(J83="","",IF(J83&gt;=TODAY(),"Vigente","Encerrado"))</f>
        <v>Encerrado</v>
      </c>
      <c r="L83" s="14" t="n">
        <f aca="false">IF(OR(I83="",J83=""),"",ROUND((J83-I83)/30.44,1))</f>
        <v>6.6</v>
      </c>
      <c r="M83" s="15" t="n">
        <v>96000</v>
      </c>
      <c r="N83" s="15" t="n">
        <f aca="false">IF(OR(L83="",L83=0,M83=""),"",M83/L83)</f>
        <v>14545.4545454545</v>
      </c>
      <c r="O83" s="16" t="n">
        <f aca="false">IF(OR(E83=0,N83=""),"",N83*12/E83)</f>
        <v>34.6595422052134</v>
      </c>
      <c r="P83" s="11" t="s">
        <v>167</v>
      </c>
      <c r="Q83" s="11" t="s">
        <v>100</v>
      </c>
      <c r="R83" s="11" t="s">
        <v>376</v>
      </c>
      <c r="S83" s="11" t="s">
        <v>377</v>
      </c>
    </row>
    <row r="84" customFormat="false" ht="15" hidden="false" customHeight="false" outlineLevel="0" collapsed="false">
      <c r="A84" s="5" t="s">
        <v>378</v>
      </c>
      <c r="B84" s="5" t="s">
        <v>94</v>
      </c>
      <c r="C84" s="5" t="s">
        <v>379</v>
      </c>
      <c r="D84" s="5" t="s">
        <v>96</v>
      </c>
      <c r="E84" s="6" t="n">
        <v>14757</v>
      </c>
      <c r="F84" s="5" t="s">
        <v>97</v>
      </c>
      <c r="G84" s="5" t="n">
        <v>2025</v>
      </c>
      <c r="H84" s="5" t="s">
        <v>106</v>
      </c>
      <c r="I84" s="7" t="n">
        <v>45869</v>
      </c>
      <c r="J84" s="7" t="n">
        <v>46022</v>
      </c>
      <c r="K84" s="5" t="str">
        <f aca="true">IF(J84="","",IF(J84&gt;=TODAY(),"Vigente","Encerrado"))</f>
        <v>Encerrado</v>
      </c>
      <c r="L84" s="8" t="n">
        <f aca="false">IF(OR(I84="",J84=""),"",ROUND((J84-I84)/30.44,1))</f>
        <v>5</v>
      </c>
      <c r="M84" s="9" t="n">
        <v>132000</v>
      </c>
      <c r="N84" s="9" t="n">
        <f aca="false">IF(OR(L84="",L84=0,M84=""),"",M84/L84)</f>
        <v>26400</v>
      </c>
      <c r="O84" s="10" t="n">
        <f aca="false">IF(OR(E84=0,N84=""),"",N84*12/E84)</f>
        <v>21.4677780036593</v>
      </c>
      <c r="P84" s="5" t="s">
        <v>167</v>
      </c>
      <c r="Q84" s="5" t="s">
        <v>100</v>
      </c>
      <c r="R84" s="18" t="s">
        <v>380</v>
      </c>
      <c r="S84" s="5" t="s">
        <v>381</v>
      </c>
    </row>
    <row r="85" customFormat="false" ht="15" hidden="false" customHeight="false" outlineLevel="0" collapsed="false">
      <c r="A85" s="11" t="s">
        <v>382</v>
      </c>
      <c r="B85" s="11" t="s">
        <v>94</v>
      </c>
      <c r="C85" s="11" t="s">
        <v>383</v>
      </c>
      <c r="D85" s="11" t="s">
        <v>137</v>
      </c>
      <c r="E85" s="12" t="n">
        <v>2385</v>
      </c>
      <c r="F85" s="11" t="s">
        <v>97</v>
      </c>
      <c r="G85" s="11" t="n">
        <v>2024</v>
      </c>
      <c r="H85" s="11" t="s">
        <v>98</v>
      </c>
      <c r="I85" s="13" t="n">
        <v>45435</v>
      </c>
      <c r="J85" s="13" t="n">
        <v>45800</v>
      </c>
      <c r="K85" s="11" t="str">
        <f aca="true">IF(J85="","",IF(J85&gt;=TODAY(),"Vigente","Encerrado"))</f>
        <v>Encerrado</v>
      </c>
      <c r="L85" s="14" t="n">
        <f aca="false">IF(OR(I85="",J85=""),"",ROUND((J85-I85)/30.44,1))</f>
        <v>12</v>
      </c>
      <c r="M85" s="15" t="n">
        <v>31440</v>
      </c>
      <c r="N85" s="15" t="n">
        <f aca="false">IF(OR(L85="",L85=0,M85=""),"",M85/L85)</f>
        <v>2620</v>
      </c>
      <c r="O85" s="16" t="n">
        <f aca="false">IF(OR(E85=0,N85=""),"",N85*12/E85)</f>
        <v>13.1823899371069</v>
      </c>
      <c r="P85" s="11" t="s">
        <v>195</v>
      </c>
      <c r="Q85" s="11" t="s">
        <v>100</v>
      </c>
      <c r="R85" s="11" t="s">
        <v>384</v>
      </c>
      <c r="S85" s="11" t="s">
        <v>385</v>
      </c>
    </row>
    <row r="86" customFormat="false" ht="15" hidden="false" customHeight="false" outlineLevel="0" collapsed="false">
      <c r="A86" s="5" t="s">
        <v>382</v>
      </c>
      <c r="B86" s="5" t="s">
        <v>94</v>
      </c>
      <c r="C86" s="5" t="s">
        <v>383</v>
      </c>
      <c r="D86" s="5" t="s">
        <v>137</v>
      </c>
      <c r="E86" s="6" t="n">
        <v>2385</v>
      </c>
      <c r="F86" s="5" t="s">
        <v>97</v>
      </c>
      <c r="G86" s="5" t="n">
        <v>2024</v>
      </c>
      <c r="H86" s="5" t="s">
        <v>111</v>
      </c>
      <c r="I86" s="7" t="n">
        <v>45299</v>
      </c>
      <c r="J86" s="7" t="n">
        <v>45451</v>
      </c>
      <c r="K86" s="5" t="str">
        <f aca="true">IF(J86="","",IF(J86&gt;=TODAY(),"Vigente","Encerrado"))</f>
        <v>Encerrado</v>
      </c>
      <c r="L86" s="8" t="n">
        <f aca="false">IF(OR(I86="",J86=""),"",ROUND((J86-I86)/30.44,1))</f>
        <v>5</v>
      </c>
      <c r="M86" s="9" t="n">
        <v>36000</v>
      </c>
      <c r="N86" s="9" t="n">
        <f aca="false">IF(OR(L86="",L86=0,M86=""),"",M86/L86)</f>
        <v>7200</v>
      </c>
      <c r="O86" s="10" t="n">
        <f aca="false">IF(OR(E86=0,N86=""),"",N86*12/E86)</f>
        <v>36.2264150943396</v>
      </c>
      <c r="P86" s="5" t="s">
        <v>195</v>
      </c>
      <c r="Q86" s="5" t="s">
        <v>100</v>
      </c>
      <c r="R86" s="5" t="s">
        <v>386</v>
      </c>
      <c r="S86" s="5" t="s">
        <v>387</v>
      </c>
    </row>
    <row r="87" customFormat="false" ht="15" hidden="false" customHeight="false" outlineLevel="0" collapsed="false">
      <c r="A87" s="11" t="s">
        <v>118</v>
      </c>
      <c r="B87" s="11" t="s">
        <v>94</v>
      </c>
      <c r="C87" s="11" t="s">
        <v>119</v>
      </c>
      <c r="D87" s="11" t="s">
        <v>96</v>
      </c>
      <c r="E87" s="12" t="n">
        <v>2973</v>
      </c>
      <c r="F87" s="11" t="s">
        <v>97</v>
      </c>
      <c r="G87" s="11" t="n">
        <v>2025</v>
      </c>
      <c r="H87" s="11" t="s">
        <v>111</v>
      </c>
      <c r="I87" s="13" t="n">
        <v>45839</v>
      </c>
      <c r="J87" s="13" t="n">
        <v>45931</v>
      </c>
      <c r="K87" s="11" t="str">
        <f aca="true">IF(J87="","",IF(J87&gt;=TODAY(),"Vigente","Encerrado"))</f>
        <v>Encerrado</v>
      </c>
      <c r="L87" s="14" t="n">
        <f aca="false">IF(OR(I87="",J87=""),"",ROUND((J87-I87)/30.44,1))</f>
        <v>3</v>
      </c>
      <c r="M87" s="15" t="n">
        <v>25800</v>
      </c>
      <c r="N87" s="15" t="n">
        <f aca="false">IF(OR(L87="",L87=0,M87=""),"",M87/L87)</f>
        <v>8600</v>
      </c>
      <c r="O87" s="16" t="n">
        <f aca="false">IF(OR(E87=0,N87=""),"",N87*12/E87)</f>
        <v>34.7124117053481</v>
      </c>
      <c r="P87" s="11" t="s">
        <v>167</v>
      </c>
      <c r="Q87" s="11" t="s">
        <v>100</v>
      </c>
      <c r="R87" s="11" t="s">
        <v>388</v>
      </c>
      <c r="S87" s="11" t="s">
        <v>389</v>
      </c>
    </row>
    <row r="88" customFormat="false" ht="15" hidden="false" customHeight="false" outlineLevel="0" collapsed="false">
      <c r="A88" s="5" t="s">
        <v>390</v>
      </c>
      <c r="B88" s="5" t="s">
        <v>94</v>
      </c>
      <c r="C88" s="5" t="s">
        <v>391</v>
      </c>
      <c r="D88" s="5" t="s">
        <v>96</v>
      </c>
      <c r="E88" s="6" t="n">
        <v>44150</v>
      </c>
      <c r="F88" s="5" t="s">
        <v>105</v>
      </c>
      <c r="G88" s="5" t="n">
        <v>2025</v>
      </c>
      <c r="H88" s="5" t="s">
        <v>106</v>
      </c>
      <c r="I88" s="7" t="n">
        <v>45888</v>
      </c>
      <c r="J88" s="7" t="n">
        <v>46253</v>
      </c>
      <c r="K88" s="5" t="str">
        <f aca="true">IF(J88="","",IF(J88&gt;=TODAY(),"Vigente","Encerrado"))</f>
        <v>Encerrado</v>
      </c>
      <c r="L88" s="8" t="n">
        <f aca="false">IF(OR(I88="",J88=""),"",ROUND((J88-I88)/30.44,1))</f>
        <v>12</v>
      </c>
      <c r="M88" s="9" t="n">
        <v>180000</v>
      </c>
      <c r="N88" s="9" t="n">
        <f aca="false">IF(OR(L88="",L88=0,M88=""),"",M88/L88)</f>
        <v>15000</v>
      </c>
      <c r="O88" s="10" t="n">
        <f aca="false">IF(OR(E88=0,N88=""),"",N88*12/E88)</f>
        <v>4.07701019252548</v>
      </c>
      <c r="P88" s="5" t="s">
        <v>167</v>
      </c>
      <c r="Q88" s="5" t="s">
        <v>100</v>
      </c>
      <c r="R88" s="5" t="s">
        <v>392</v>
      </c>
      <c r="S88" s="5" t="s">
        <v>393</v>
      </c>
    </row>
    <row r="89" customFormat="false" ht="15" hidden="false" customHeight="false" outlineLevel="0" collapsed="false">
      <c r="A89" s="11" t="s">
        <v>390</v>
      </c>
      <c r="B89" s="11" t="s">
        <v>94</v>
      </c>
      <c r="C89" s="11" t="s">
        <v>391</v>
      </c>
      <c r="D89" s="11" t="s">
        <v>96</v>
      </c>
      <c r="E89" s="12" t="n">
        <v>44150</v>
      </c>
      <c r="F89" s="11" t="s">
        <v>105</v>
      </c>
      <c r="G89" s="11" t="n">
        <v>2025</v>
      </c>
      <c r="H89" s="11" t="s">
        <v>111</v>
      </c>
      <c r="I89" s="13" t="n">
        <v>45807</v>
      </c>
      <c r="J89" s="13" t="n">
        <v>45930</v>
      </c>
      <c r="K89" s="11" t="str">
        <f aca="true">IF(J89="","",IF(J89&gt;=TODAY(),"Vigente","Encerrado"))</f>
        <v>Encerrado</v>
      </c>
      <c r="L89" s="14" t="n">
        <f aca="false">IF(OR(I89="",J89=""),"",ROUND((J89-I89)/30.44,1))</f>
        <v>4</v>
      </c>
      <c r="M89" s="15" t="n">
        <v>56000</v>
      </c>
      <c r="N89" s="15" t="n">
        <f aca="false">IF(OR(L89="",L89=0,M89=""),"",M89/L89)</f>
        <v>14000</v>
      </c>
      <c r="O89" s="16" t="n">
        <f aca="false">IF(OR(E89=0,N89=""),"",N89*12/E89)</f>
        <v>3.80520951302378</v>
      </c>
      <c r="P89" s="11" t="s">
        <v>167</v>
      </c>
      <c r="Q89" s="11" t="s">
        <v>100</v>
      </c>
      <c r="R89" s="11" t="s">
        <v>394</v>
      </c>
      <c r="S89" s="11" t="s">
        <v>395</v>
      </c>
    </row>
    <row r="90" customFormat="false" ht="15" hidden="false" customHeight="false" outlineLevel="0" collapsed="false">
      <c r="A90" s="5" t="s">
        <v>396</v>
      </c>
      <c r="B90" s="5" t="s">
        <v>94</v>
      </c>
      <c r="C90" s="5" t="s">
        <v>397</v>
      </c>
      <c r="D90" s="5" t="s">
        <v>96</v>
      </c>
      <c r="E90" s="6" t="n">
        <v>9077</v>
      </c>
      <c r="F90" s="5" t="s">
        <v>97</v>
      </c>
      <c r="G90" s="5" t="n">
        <v>2025</v>
      </c>
      <c r="H90" s="5" t="s">
        <v>106</v>
      </c>
      <c r="I90" s="7" t="n">
        <v>45805</v>
      </c>
      <c r="J90" s="7" t="n">
        <v>46174</v>
      </c>
      <c r="K90" s="5" t="str">
        <f aca="true">IF(J90="","",IF(J90&gt;=TODAY(),"Vigente","Encerrado"))</f>
        <v>Encerrado</v>
      </c>
      <c r="L90" s="8" t="n">
        <f aca="false">IF(OR(I90="",J90=""),"",ROUND((J90-I90)/30.44,1))</f>
        <v>12.1</v>
      </c>
      <c r="M90" s="9" t="n">
        <v>96000</v>
      </c>
      <c r="N90" s="9" t="n">
        <f aca="false">IF(OR(L90="",L90=0,M90=""),"",M90/L90)</f>
        <v>7933.88429752066</v>
      </c>
      <c r="O90" s="10" t="n">
        <f aca="false">IF(OR(E90=0,N90=""),"",N90*12/E90)</f>
        <v>10.4887750986282</v>
      </c>
      <c r="P90" s="5" t="s">
        <v>167</v>
      </c>
      <c r="Q90" s="5" t="s">
        <v>100</v>
      </c>
      <c r="R90" s="5" t="s">
        <v>398</v>
      </c>
      <c r="S90" s="5" t="s">
        <v>399</v>
      </c>
    </row>
    <row r="91" customFormat="false" ht="15" hidden="false" customHeight="false" outlineLevel="0" collapsed="false">
      <c r="A91" s="11" t="s">
        <v>400</v>
      </c>
      <c r="B91" s="11" t="s">
        <v>94</v>
      </c>
      <c r="C91" s="11" t="s">
        <v>401</v>
      </c>
      <c r="D91" s="11" t="s">
        <v>96</v>
      </c>
      <c r="E91" s="12" t="n">
        <v>4185</v>
      </c>
      <c r="F91" s="11" t="s">
        <v>97</v>
      </c>
      <c r="G91" s="11" t="n">
        <v>2026</v>
      </c>
      <c r="H91" s="11" t="s">
        <v>98</v>
      </c>
      <c r="I91" s="13" t="n">
        <v>46099</v>
      </c>
      <c r="J91" s="13" t="n">
        <v>46464</v>
      </c>
      <c r="K91" s="11" t="str">
        <f aca="true">IF(J91="","",IF(J91&gt;=TODAY(),"Vigente","Encerrado"))</f>
        <v>Vigente</v>
      </c>
      <c r="L91" s="14" t="n">
        <f aca="false">IF(OR(I91="",J91=""),"",ROUND((J91-I91)/30.44,1))</f>
        <v>12</v>
      </c>
      <c r="M91" s="15" t="n">
        <v>108000</v>
      </c>
      <c r="N91" s="15" t="n">
        <f aca="false">IF(OR(L91="",L91=0,M91=""),"",M91/L91)</f>
        <v>9000</v>
      </c>
      <c r="O91" s="16" t="n">
        <f aca="false">IF(OR(E91=0,N91=""),"",N91*12/E91)</f>
        <v>25.8064516129032</v>
      </c>
      <c r="P91" s="11" t="s">
        <v>167</v>
      </c>
      <c r="Q91" s="11" t="s">
        <v>100</v>
      </c>
      <c r="R91" s="17" t="s">
        <v>402</v>
      </c>
      <c r="S91" s="11" t="s">
        <v>403</v>
      </c>
    </row>
  </sheetData>
  <autoFilter ref="A1:S91"/>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404</v>
      </c>
      <c r="B2" s="5" t="s">
        <v>405</v>
      </c>
      <c r="C2" s="5" t="s">
        <v>406</v>
      </c>
      <c r="D2" s="5" t="s">
        <v>96</v>
      </c>
      <c r="E2" s="6" t="n">
        <v>2297</v>
      </c>
      <c r="F2" s="5" t="s">
        <v>97</v>
      </c>
      <c r="G2" s="5" t="n">
        <v>2026</v>
      </c>
      <c r="H2" s="5" t="s">
        <v>111</v>
      </c>
      <c r="I2" s="7" t="n">
        <v>46029</v>
      </c>
      <c r="J2" s="7" t="n">
        <v>46387</v>
      </c>
      <c r="K2" s="5" t="str">
        <f aca="true">IF(J2="","",IF(J2&gt;=TODAY(),"Vigente","Encerrado"))</f>
        <v>Vigente</v>
      </c>
      <c r="L2" s="8" t="n">
        <f aca="false">IF(OR(I2="",J2=""),"",ROUND((J2-I2)/30.44,1))</f>
        <v>11.8</v>
      </c>
      <c r="M2" s="9" t="n">
        <v>20400</v>
      </c>
      <c r="N2" s="9" t="n">
        <f aca="false">IF(OR(L2="",L2=0,M2=""),"",M2/L2)</f>
        <v>1728.81355932203</v>
      </c>
      <c r="O2" s="10" t="n">
        <f aca="false">IF(OR(E2=0,N2=""),"",N2*12/E2)</f>
        <v>9.03167727987131</v>
      </c>
      <c r="P2" s="5" t="s">
        <v>99</v>
      </c>
      <c r="Q2" s="5" t="s">
        <v>100</v>
      </c>
      <c r="R2" s="5" t="s">
        <v>407</v>
      </c>
      <c r="S2" s="5" t="s">
        <v>408</v>
      </c>
    </row>
    <row r="3" customFormat="false" ht="15" hidden="false" customHeight="false" outlineLevel="0" collapsed="false">
      <c r="A3" s="11" t="s">
        <v>409</v>
      </c>
      <c r="B3" s="11" t="s">
        <v>405</v>
      </c>
      <c r="C3" s="11" t="s">
        <v>410</v>
      </c>
      <c r="D3" s="11" t="s">
        <v>96</v>
      </c>
      <c r="E3" s="12" t="n">
        <v>6375</v>
      </c>
      <c r="F3" s="11" t="s">
        <v>97</v>
      </c>
      <c r="G3" s="11" t="n">
        <v>2025</v>
      </c>
      <c r="H3" s="11" t="s">
        <v>111</v>
      </c>
      <c r="I3" s="13" t="n">
        <v>45680</v>
      </c>
      <c r="J3" s="13" t="n">
        <v>46022</v>
      </c>
      <c r="K3" s="11" t="str">
        <f aca="true">IF(J3="","",IF(J3&gt;=TODAY(),"Vigente","Encerrado"))</f>
        <v>Encerrado</v>
      </c>
      <c r="L3" s="14" t="n">
        <f aca="false">IF(OR(I3="",J3=""),"",ROUND((J3-I3)/30.44,1))</f>
        <v>11.2</v>
      </c>
      <c r="M3" s="15" t="n">
        <v>19800</v>
      </c>
      <c r="N3" s="15" t="n">
        <f aca="false">IF(OR(L3="",L3=0,M3=""),"",M3/L3)</f>
        <v>1767.85714285714</v>
      </c>
      <c r="O3" s="16" t="n">
        <f aca="false">IF(OR(E3=0,N3=""),"",N3*12/E3)</f>
        <v>3.32773109243697</v>
      </c>
      <c r="P3" s="11" t="s">
        <v>99</v>
      </c>
      <c r="Q3" s="11" t="s">
        <v>100</v>
      </c>
      <c r="R3" s="11" t="s">
        <v>411</v>
      </c>
      <c r="S3" s="11" t="s">
        <v>412</v>
      </c>
    </row>
    <row r="4" customFormat="false" ht="15" hidden="false" customHeight="false" outlineLevel="0" collapsed="false">
      <c r="A4" s="5" t="s">
        <v>413</v>
      </c>
      <c r="B4" s="5" t="s">
        <v>405</v>
      </c>
      <c r="C4" s="5" t="s">
        <v>414</v>
      </c>
      <c r="D4" s="5" t="s">
        <v>96</v>
      </c>
      <c r="E4" s="6" t="n">
        <v>3281</v>
      </c>
      <c r="F4" s="5" t="s">
        <v>97</v>
      </c>
      <c r="G4" s="5" t="n">
        <v>2026</v>
      </c>
      <c r="H4" s="5" t="s">
        <v>111</v>
      </c>
      <c r="I4" s="7" t="n">
        <v>46042</v>
      </c>
      <c r="J4" s="7" t="n">
        <v>46387</v>
      </c>
      <c r="K4" s="5" t="str">
        <f aca="true">IF(J4="","",IF(J4&gt;=TODAY(),"Vigente","Encerrado"))</f>
        <v>Vigente</v>
      </c>
      <c r="L4" s="8" t="n">
        <f aca="false">IF(OR(I4="",J4=""),"",ROUND((J4-I4)/30.44,1))</f>
        <v>11.3</v>
      </c>
      <c r="M4" s="9" t="n">
        <v>22500</v>
      </c>
      <c r="N4" s="9" t="n">
        <f aca="false">IF(OR(L4="",L4=0,M4=""),"",M4/L4)</f>
        <v>1991.15044247788</v>
      </c>
      <c r="O4" s="10" t="n">
        <f aca="false">IF(OR(E4=0,N4=""),"",N4*12/E4)</f>
        <v>7.28247647355517</v>
      </c>
      <c r="P4" s="5" t="s">
        <v>99</v>
      </c>
      <c r="Q4" s="5" t="s">
        <v>100</v>
      </c>
      <c r="R4" s="5" t="s">
        <v>415</v>
      </c>
      <c r="S4" s="5" t="s">
        <v>416</v>
      </c>
    </row>
    <row r="5" customFormat="false" ht="15" hidden="false" customHeight="false" outlineLevel="0" collapsed="false">
      <c r="A5" s="11" t="s">
        <v>417</v>
      </c>
      <c r="B5" s="11" t="s">
        <v>405</v>
      </c>
      <c r="C5" s="11" t="s">
        <v>216</v>
      </c>
      <c r="D5" s="11" t="s">
        <v>96</v>
      </c>
      <c r="E5" s="12" t="n">
        <v>26638</v>
      </c>
      <c r="F5" s="11" t="s">
        <v>105</v>
      </c>
      <c r="G5" s="11" t="n">
        <v>2026</v>
      </c>
      <c r="H5" s="11" t="s">
        <v>111</v>
      </c>
      <c r="I5" s="13" t="n">
        <v>46023</v>
      </c>
      <c r="J5" s="13" t="n">
        <v>46387</v>
      </c>
      <c r="K5" s="11" t="str">
        <f aca="true">IF(J5="","",IF(J5&gt;=TODAY(),"Vigente","Encerrado"))</f>
        <v>Vigente</v>
      </c>
      <c r="L5" s="14" t="n">
        <f aca="false">IF(OR(I5="",J5=""),"",ROUND((J5-I5)/30.44,1))</f>
        <v>12</v>
      </c>
      <c r="M5" s="15" t="n">
        <v>27000</v>
      </c>
      <c r="N5" s="15" t="n">
        <f aca="false">IF(OR(L5="",L5=0,M5=""),"",M5/L5)</f>
        <v>2250</v>
      </c>
      <c r="O5" s="16" t="n">
        <f aca="false">IF(OR(E5=0,N5=""),"",N5*12/E5)</f>
        <v>1.01358960882949</v>
      </c>
      <c r="P5" s="11" t="s">
        <v>99</v>
      </c>
      <c r="Q5" s="11" t="s">
        <v>100</v>
      </c>
      <c r="R5" s="11" t="s">
        <v>418</v>
      </c>
      <c r="S5" s="11" t="s">
        <v>419</v>
      </c>
    </row>
    <row r="6" customFormat="false" ht="15" hidden="false" customHeight="false" outlineLevel="0" collapsed="false">
      <c r="A6" s="5" t="s">
        <v>417</v>
      </c>
      <c r="B6" s="5" t="s">
        <v>405</v>
      </c>
      <c r="C6" s="5" t="s">
        <v>216</v>
      </c>
      <c r="D6" s="5" t="s">
        <v>96</v>
      </c>
      <c r="E6" s="6" t="n">
        <v>26638</v>
      </c>
      <c r="F6" s="5" t="s">
        <v>105</v>
      </c>
      <c r="G6" s="5" t="n">
        <v>2025</v>
      </c>
      <c r="H6" s="5" t="s">
        <v>111</v>
      </c>
      <c r="I6" s="7" t="n">
        <v>45694</v>
      </c>
      <c r="J6" s="7" t="n">
        <v>46022</v>
      </c>
      <c r="K6" s="5" t="str">
        <f aca="true">IF(J6="","",IF(J6&gt;=TODAY(),"Vigente","Encerrado"))</f>
        <v>Encerrado</v>
      </c>
      <c r="L6" s="8" t="n">
        <f aca="false">IF(OR(I6="",J6=""),"",ROUND((J6-I6)/30.44,1))</f>
        <v>10.8</v>
      </c>
      <c r="M6" s="9" t="n">
        <v>21600</v>
      </c>
      <c r="N6" s="9" t="n">
        <f aca="false">IF(OR(L6="",L6=0,M6=""),"",M6/L6)</f>
        <v>2000</v>
      </c>
      <c r="O6" s="10" t="n">
        <f aca="false">IF(OR(E6=0,N6=""),"",N6*12/E6)</f>
        <v>0.90096854118177</v>
      </c>
      <c r="P6" s="5" t="s">
        <v>99</v>
      </c>
      <c r="Q6" s="5" t="s">
        <v>100</v>
      </c>
      <c r="R6" s="5" t="s">
        <v>418</v>
      </c>
      <c r="S6" s="5" t="s">
        <v>420</v>
      </c>
    </row>
    <row r="7" customFormat="false" ht="15" hidden="false" customHeight="false" outlineLevel="0" collapsed="false">
      <c r="A7" s="11" t="s">
        <v>421</v>
      </c>
      <c r="B7" s="11" t="s">
        <v>405</v>
      </c>
      <c r="C7" s="11" t="s">
        <v>269</v>
      </c>
      <c r="D7" s="11" t="s">
        <v>96</v>
      </c>
      <c r="E7" s="12" t="n">
        <v>6360</v>
      </c>
      <c r="F7" s="11" t="s">
        <v>97</v>
      </c>
      <c r="G7" s="11" t="n">
        <v>2026</v>
      </c>
      <c r="H7" s="11" t="s">
        <v>111</v>
      </c>
      <c r="I7" s="13" t="n">
        <v>46031</v>
      </c>
      <c r="J7" s="13" t="n">
        <v>46387</v>
      </c>
      <c r="K7" s="11" t="str">
        <f aca="true">IF(J7="","",IF(J7&gt;=TODAY(),"Vigente","Encerrado"))</f>
        <v>Vigente</v>
      </c>
      <c r="L7" s="14" t="n">
        <f aca="false">IF(OR(I7="",J7=""),"",ROUND((J7-I7)/30.44,1))</f>
        <v>11.7</v>
      </c>
      <c r="M7" s="15" t="n">
        <v>21000</v>
      </c>
      <c r="N7" s="15" t="n">
        <f aca="false">IF(OR(L7="",L7=0,M7=""),"",M7/L7)</f>
        <v>1794.8717948718</v>
      </c>
      <c r="O7" s="16" t="n">
        <f aca="false">IF(OR(E7=0,N7=""),"",N7*12/E7)</f>
        <v>3.38655055636188</v>
      </c>
      <c r="P7" s="11" t="s">
        <v>99</v>
      </c>
      <c r="Q7" s="11" t="s">
        <v>100</v>
      </c>
      <c r="R7" s="11" t="s">
        <v>422</v>
      </c>
      <c r="S7" s="11" t="s">
        <v>423</v>
      </c>
    </row>
    <row r="8" customFormat="false" ht="15" hidden="false" customHeight="false" outlineLevel="0" collapsed="false">
      <c r="A8" s="5" t="s">
        <v>421</v>
      </c>
      <c r="B8" s="5" t="s">
        <v>405</v>
      </c>
      <c r="C8" s="5" t="s">
        <v>269</v>
      </c>
      <c r="D8" s="5" t="s">
        <v>96</v>
      </c>
      <c r="E8" s="6" t="n">
        <v>6360</v>
      </c>
      <c r="F8" s="5" t="s">
        <v>97</v>
      </c>
      <c r="G8" s="5" t="n">
        <v>2025</v>
      </c>
      <c r="H8" s="5" t="s">
        <v>111</v>
      </c>
      <c r="I8" s="7" t="n">
        <v>45659</v>
      </c>
      <c r="J8" s="7" t="n">
        <v>45839</v>
      </c>
      <c r="K8" s="5" t="str">
        <f aca="true">IF(J8="","",IF(J8&gt;=TODAY(),"Vigente","Encerrado"))</f>
        <v>Encerrado</v>
      </c>
      <c r="L8" s="8" t="n">
        <f aca="false">IF(OR(I8="",J8=""),"",ROUND((J8-I8)/30.44,1))</f>
        <v>5.9</v>
      </c>
      <c r="M8" s="9" t="n">
        <v>8400</v>
      </c>
      <c r="N8" s="9" t="n">
        <f aca="false">IF(OR(L8="",L8=0,M8=""),"",M8/L8)</f>
        <v>1423.72881355932</v>
      </c>
      <c r="O8" s="10" t="n">
        <f aca="false">IF(OR(E8=0,N8=""),"",N8*12/E8)</f>
        <v>2.68628078030061</v>
      </c>
      <c r="P8" s="5" t="s">
        <v>99</v>
      </c>
      <c r="Q8" s="5" t="s">
        <v>100</v>
      </c>
      <c r="R8" s="5" t="s">
        <v>424</v>
      </c>
      <c r="S8" s="5" t="s">
        <v>425</v>
      </c>
    </row>
    <row r="9" customFormat="false" ht="15" hidden="false" customHeight="false" outlineLevel="0" collapsed="false">
      <c r="A9" s="11" t="s">
        <v>426</v>
      </c>
      <c r="B9" s="11" t="s">
        <v>405</v>
      </c>
      <c r="C9" s="11" t="s">
        <v>427</v>
      </c>
      <c r="D9" s="11" t="s">
        <v>96</v>
      </c>
      <c r="E9" s="12" t="n">
        <v>2273</v>
      </c>
      <c r="F9" s="11" t="s">
        <v>97</v>
      </c>
      <c r="G9" s="11" t="n">
        <v>2026</v>
      </c>
      <c r="H9" s="11" t="s">
        <v>111</v>
      </c>
      <c r="I9" s="13" t="n">
        <v>46035</v>
      </c>
      <c r="J9" s="13" t="n">
        <v>46387</v>
      </c>
      <c r="K9" s="11" t="str">
        <f aca="true">IF(J9="","",IF(J9&gt;=TODAY(),"Vigente","Encerrado"))</f>
        <v>Vigente</v>
      </c>
      <c r="L9" s="14" t="n">
        <f aca="false">IF(OR(I9="",J9=""),"",ROUND((J9-I9)/30.44,1))</f>
        <v>11.6</v>
      </c>
      <c r="M9" s="15" t="n">
        <v>22500</v>
      </c>
      <c r="N9" s="15" t="n">
        <f aca="false">IF(OR(L9="",L9=0,M9=""),"",M9/L9)</f>
        <v>1939.65517241379</v>
      </c>
      <c r="O9" s="16" t="n">
        <f aca="false">IF(OR(E9=0,N9=""),"",N9*12/E9)</f>
        <v>10.2401504922858</v>
      </c>
      <c r="P9" s="11" t="s">
        <v>99</v>
      </c>
      <c r="Q9" s="11" t="s">
        <v>100</v>
      </c>
      <c r="R9" s="11" t="s">
        <v>428</v>
      </c>
      <c r="S9" s="11" t="s">
        <v>429</v>
      </c>
    </row>
    <row r="10" customFormat="false" ht="15" hidden="false" customHeight="false" outlineLevel="0" collapsed="false">
      <c r="A10" s="5" t="s">
        <v>426</v>
      </c>
      <c r="B10" s="5" t="s">
        <v>405</v>
      </c>
      <c r="C10" s="5" t="s">
        <v>427</v>
      </c>
      <c r="D10" s="5" t="s">
        <v>96</v>
      </c>
      <c r="E10" s="6" t="n">
        <v>2273</v>
      </c>
      <c r="F10" s="5" t="s">
        <v>97</v>
      </c>
      <c r="G10" s="5" t="n">
        <v>2025</v>
      </c>
      <c r="H10" s="5" t="s">
        <v>111</v>
      </c>
      <c r="I10" s="7" t="n">
        <v>45673</v>
      </c>
      <c r="J10" s="7" t="n">
        <v>46022</v>
      </c>
      <c r="K10" s="5" t="str">
        <f aca="true">IF(J10="","",IF(J10&gt;=TODAY(),"Vigente","Encerrado"))</f>
        <v>Encerrado</v>
      </c>
      <c r="L10" s="8" t="n">
        <f aca="false">IF(OR(I10="",J10=""),"",ROUND((J10-I10)/30.44,1))</f>
        <v>11.5</v>
      </c>
      <c r="M10" s="9" t="n">
        <v>18000</v>
      </c>
      <c r="N10" s="9" t="n">
        <f aca="false">IF(OR(L10="",L10=0,M10=""),"",M10/L10)</f>
        <v>1565.21739130435</v>
      </c>
      <c r="O10" s="10" t="n">
        <f aca="false">IF(OR(E10=0,N10=""),"",N10*12/E10)</f>
        <v>8.26335622334016</v>
      </c>
      <c r="P10" s="5" t="s">
        <v>99</v>
      </c>
      <c r="Q10" s="5" t="s">
        <v>100</v>
      </c>
      <c r="R10" s="5" t="s">
        <v>430</v>
      </c>
      <c r="S10" s="5" t="s">
        <v>431</v>
      </c>
    </row>
    <row r="11" customFormat="false" ht="15" hidden="false" customHeight="false" outlineLevel="0" collapsed="false">
      <c r="A11" s="11" t="s">
        <v>432</v>
      </c>
      <c r="B11" s="11" t="s">
        <v>405</v>
      </c>
      <c r="C11" s="11" t="s">
        <v>433</v>
      </c>
      <c r="D11" s="11" t="s">
        <v>96</v>
      </c>
      <c r="E11" s="12" t="n">
        <v>1807</v>
      </c>
      <c r="F11" s="11" t="s">
        <v>97</v>
      </c>
      <c r="G11" s="11" t="n">
        <v>2026</v>
      </c>
      <c r="H11" s="11" t="s">
        <v>111</v>
      </c>
      <c r="I11" s="13" t="n">
        <v>46024</v>
      </c>
      <c r="J11" s="13" t="n">
        <v>46387</v>
      </c>
      <c r="K11" s="11" t="str">
        <f aca="true">IF(J11="","",IF(J11&gt;=TODAY(),"Vigente","Encerrado"))</f>
        <v>Vigente</v>
      </c>
      <c r="L11" s="14" t="n">
        <f aca="false">IF(OR(I11="",J11=""),"",ROUND((J11-I11)/30.44,1))</f>
        <v>11.9</v>
      </c>
      <c r="M11" s="15" t="n">
        <v>22500</v>
      </c>
      <c r="N11" s="15" t="n">
        <f aca="false">IF(OR(L11="",L11=0,M11=""),"",M11/L11)</f>
        <v>1890.75630252101</v>
      </c>
      <c r="O11" s="16" t="n">
        <f aca="false">IF(OR(E11=0,N11=""),"",N11*12/E11)</f>
        <v>12.5562123022978</v>
      </c>
      <c r="P11" s="11" t="s">
        <v>99</v>
      </c>
      <c r="Q11" s="11" t="s">
        <v>100</v>
      </c>
      <c r="R11" s="11" t="s">
        <v>434</v>
      </c>
      <c r="S11" s="11" t="s">
        <v>435</v>
      </c>
    </row>
    <row r="12" customFormat="false" ht="15" hidden="false" customHeight="false" outlineLevel="0" collapsed="false">
      <c r="A12" s="5" t="s">
        <v>436</v>
      </c>
      <c r="B12" s="5" t="s">
        <v>405</v>
      </c>
      <c r="C12" s="5" t="s">
        <v>119</v>
      </c>
      <c r="D12" s="5" t="s">
        <v>96</v>
      </c>
      <c r="E12" s="6" t="n">
        <v>2973</v>
      </c>
      <c r="F12" s="5" t="s">
        <v>97</v>
      </c>
      <c r="G12" s="5" t="n">
        <v>2026</v>
      </c>
      <c r="H12" s="5" t="s">
        <v>111</v>
      </c>
      <c r="I12" s="7" t="n">
        <v>46051</v>
      </c>
      <c r="J12" s="7" t="n">
        <v>46387</v>
      </c>
      <c r="K12" s="5" t="str">
        <f aca="true">IF(J12="","",IF(J12&gt;=TODAY(),"Vigente","Encerrado"))</f>
        <v>Vigente</v>
      </c>
      <c r="L12" s="8" t="n">
        <f aca="false">IF(OR(I12="",J12=""),"",ROUND((J12-I12)/30.44,1))</f>
        <v>11</v>
      </c>
      <c r="M12" s="9" t="n">
        <v>22500</v>
      </c>
      <c r="N12" s="9" t="n">
        <f aca="false">IF(OR(L12="",L12=0,M12=""),"",M12/L12)</f>
        <v>2045.45454545455</v>
      </c>
      <c r="O12" s="10" t="n">
        <f aca="false">IF(OR(E12=0,N12=""),"",N12*12/E12)</f>
        <v>8.25612329144115</v>
      </c>
      <c r="P12" s="5" t="s">
        <v>99</v>
      </c>
      <c r="Q12" s="5" t="s">
        <v>100</v>
      </c>
      <c r="R12" s="5" t="s">
        <v>437</v>
      </c>
      <c r="S12" s="5" t="s">
        <v>438</v>
      </c>
    </row>
    <row r="13" customFormat="false" ht="15" hidden="false" customHeight="false" outlineLevel="0" collapsed="false">
      <c r="A13" s="11" t="s">
        <v>436</v>
      </c>
      <c r="B13" s="11" t="s">
        <v>405</v>
      </c>
      <c r="C13" s="11" t="s">
        <v>119</v>
      </c>
      <c r="D13" s="11" t="s">
        <v>96</v>
      </c>
      <c r="E13" s="12" t="n">
        <v>2973</v>
      </c>
      <c r="F13" s="11" t="s">
        <v>97</v>
      </c>
      <c r="G13" s="11" t="n">
        <v>2025</v>
      </c>
      <c r="H13" s="11" t="s">
        <v>111</v>
      </c>
      <c r="I13" s="13" t="n">
        <v>45682</v>
      </c>
      <c r="J13" s="13" t="n">
        <v>46022</v>
      </c>
      <c r="K13" s="11" t="str">
        <f aca="true">IF(J13="","",IF(J13&gt;=TODAY(),"Vigente","Encerrado"))</f>
        <v>Encerrado</v>
      </c>
      <c r="L13" s="14" t="n">
        <f aca="false">IF(OR(I13="",J13=""),"",ROUND((J13-I13)/30.44,1))</f>
        <v>11.2</v>
      </c>
      <c r="M13" s="15" t="n">
        <v>18000</v>
      </c>
      <c r="N13" s="15" t="n">
        <f aca="false">IF(OR(L13="",L13=0,M13=""),"",M13/L13)</f>
        <v>1607.14285714286</v>
      </c>
      <c r="O13" s="16" t="n">
        <f aca="false">IF(OR(E13=0,N13=""),"",N13*12/E13)</f>
        <v>6.48695401470376</v>
      </c>
      <c r="P13" s="11" t="s">
        <v>99</v>
      </c>
      <c r="Q13" s="11" t="s">
        <v>100</v>
      </c>
      <c r="R13" s="11" t="s">
        <v>439</v>
      </c>
      <c r="S13" s="11" t="s">
        <v>440</v>
      </c>
    </row>
    <row r="14" customFormat="false" ht="15" hidden="false" customHeight="false" outlineLevel="0" collapsed="false">
      <c r="A14" s="5" t="s">
        <v>441</v>
      </c>
      <c r="B14" s="5" t="s">
        <v>405</v>
      </c>
      <c r="C14" s="5" t="s">
        <v>171</v>
      </c>
      <c r="D14" s="5" t="s">
        <v>96</v>
      </c>
      <c r="E14" s="6" t="n">
        <v>8597</v>
      </c>
      <c r="F14" s="5" t="s">
        <v>97</v>
      </c>
      <c r="G14" s="5" t="n">
        <v>2024</v>
      </c>
      <c r="H14" s="5" t="s">
        <v>111</v>
      </c>
      <c r="I14" s="7" t="n">
        <v>45293</v>
      </c>
      <c r="J14" s="7" t="n">
        <v>45657</v>
      </c>
      <c r="K14" s="5" t="str">
        <f aca="true">IF(J14="","",IF(J14&gt;=TODAY(),"Vigente","Encerrado"))</f>
        <v>Encerrado</v>
      </c>
      <c r="L14" s="8" t="n">
        <f aca="false">IF(OR(I14="",J14=""),"",ROUND((J14-I14)/30.44,1))</f>
        <v>12</v>
      </c>
      <c r="M14" s="9" t="n">
        <v>15600</v>
      </c>
      <c r="N14" s="9" t="n">
        <f aca="false">IF(OR(L14="",L14=0,M14=""),"",M14/L14)</f>
        <v>1300</v>
      </c>
      <c r="O14" s="10" t="n">
        <f aca="false">IF(OR(E14=0,N14=""),"",N14*12/E14)</f>
        <v>1.81458648365709</v>
      </c>
      <c r="P14" s="5" t="s">
        <v>124</v>
      </c>
      <c r="Q14" s="5" t="s">
        <v>100</v>
      </c>
      <c r="R14" s="18" t="s">
        <v>442</v>
      </c>
      <c r="S14" s="5" t="s">
        <v>443</v>
      </c>
    </row>
    <row r="15" customFormat="false" ht="15" hidden="false" customHeight="false" outlineLevel="0" collapsed="false">
      <c r="A15" s="11" t="s">
        <v>444</v>
      </c>
      <c r="B15" s="11" t="s">
        <v>405</v>
      </c>
      <c r="C15" s="11" t="s">
        <v>95</v>
      </c>
      <c r="D15" s="11" t="s">
        <v>96</v>
      </c>
      <c r="E15" s="12" t="n">
        <v>18443</v>
      </c>
      <c r="F15" s="11" t="s">
        <v>97</v>
      </c>
      <c r="G15" s="11" t="n">
        <v>2024</v>
      </c>
      <c r="H15" s="11" t="s">
        <v>111</v>
      </c>
      <c r="I15" s="13" t="n">
        <v>45295</v>
      </c>
      <c r="J15" s="13" t="n">
        <v>45657</v>
      </c>
      <c r="K15" s="11" t="str">
        <f aca="true">IF(J15="","",IF(J15&gt;=TODAY(),"Vigente","Encerrado"))</f>
        <v>Encerrado</v>
      </c>
      <c r="L15" s="14" t="n">
        <f aca="false">IF(OR(I15="",J15=""),"",ROUND((J15-I15)/30.44,1))</f>
        <v>11.9</v>
      </c>
      <c r="M15" s="15" t="n">
        <v>16200</v>
      </c>
      <c r="N15" s="15" t="n">
        <f aca="false">IF(OR(L15="",L15=0,M15=""),"",M15/L15)</f>
        <v>1361.34453781513</v>
      </c>
      <c r="O15" s="16" t="n">
        <f aca="false">IF(OR(E15=0,N15=""),"",N15*12/E15)</f>
        <v>0.885763403664345</v>
      </c>
      <c r="P15" s="11" t="s">
        <v>124</v>
      </c>
      <c r="Q15" s="11" t="s">
        <v>100</v>
      </c>
      <c r="R15" s="11" t="s">
        <v>445</v>
      </c>
      <c r="S15" s="11" t="s">
        <v>446</v>
      </c>
    </row>
    <row r="16" customFormat="false" ht="15" hidden="false" customHeight="false" outlineLevel="0" collapsed="false">
      <c r="A16" s="5" t="s">
        <v>447</v>
      </c>
      <c r="B16" s="5" t="s">
        <v>405</v>
      </c>
      <c r="C16" s="5" t="s">
        <v>175</v>
      </c>
      <c r="D16" s="5" t="s">
        <v>96</v>
      </c>
      <c r="E16" s="6" t="n">
        <v>18604</v>
      </c>
      <c r="F16" s="5" t="s">
        <v>97</v>
      </c>
      <c r="G16" s="5" t="n">
        <v>2023</v>
      </c>
      <c r="H16" s="5" t="s">
        <v>111</v>
      </c>
      <c r="I16" s="7" t="n">
        <v>44928</v>
      </c>
      <c r="J16" s="7" t="n">
        <v>45291</v>
      </c>
      <c r="K16" s="5" t="str">
        <f aca="true">IF(J16="","",IF(J16&gt;=TODAY(),"Vigente","Encerrado"))</f>
        <v>Encerrado</v>
      </c>
      <c r="L16" s="8" t="n">
        <f aca="false">IF(OR(I16="",J16=""),"",ROUND((J16-I16)/30.44,1))</f>
        <v>11.9</v>
      </c>
      <c r="M16" s="9" t="n">
        <v>20916</v>
      </c>
      <c r="N16" s="9" t="n">
        <f aca="false">IF(OR(L16="",L16=0,M16=""),"",M16/L16)</f>
        <v>1757.64705882353</v>
      </c>
      <c r="O16" s="10" t="n">
        <f aca="false">IF(OR(E16=0,N16=""),"",N16*12/E16)</f>
        <v>1.13372203321234</v>
      </c>
      <c r="P16" s="5" t="s">
        <v>124</v>
      </c>
      <c r="Q16" s="5" t="s">
        <v>100</v>
      </c>
      <c r="R16" s="5" t="s">
        <v>448</v>
      </c>
      <c r="S16" s="5" t="s">
        <v>449</v>
      </c>
    </row>
    <row r="17" customFormat="false" ht="15" hidden="false" customHeight="false" outlineLevel="0" collapsed="false">
      <c r="A17" s="11" t="s">
        <v>447</v>
      </c>
      <c r="B17" s="11" t="s">
        <v>405</v>
      </c>
      <c r="C17" s="11" t="s">
        <v>175</v>
      </c>
      <c r="D17" s="11" t="s">
        <v>96</v>
      </c>
      <c r="E17" s="12" t="n">
        <v>18604</v>
      </c>
      <c r="F17" s="11" t="s">
        <v>97</v>
      </c>
      <c r="G17" s="11" t="n">
        <v>2024</v>
      </c>
      <c r="H17" s="11" t="s">
        <v>111</v>
      </c>
      <c r="I17" s="13" t="n">
        <v>45299</v>
      </c>
      <c r="J17" s="13" t="n">
        <v>45657</v>
      </c>
      <c r="K17" s="11" t="str">
        <f aca="true">IF(J17="","",IF(J17&gt;=TODAY(),"Vigente","Encerrado"))</f>
        <v>Encerrado</v>
      </c>
      <c r="L17" s="14" t="n">
        <f aca="false">IF(OR(I17="",J17=""),"",ROUND((J17-I17)/30.44,1))</f>
        <v>11.8</v>
      </c>
      <c r="M17" s="15" t="n">
        <v>21600</v>
      </c>
      <c r="N17" s="15" t="n">
        <f aca="false">IF(OR(L17="",L17=0,M17=""),"",M17/L17)</f>
        <v>1830.50847457627</v>
      </c>
      <c r="O17" s="16" t="n">
        <f aca="false">IF(OR(E17=0,N17=""),"",N17*12/E17)</f>
        <v>1.18071929127689</v>
      </c>
      <c r="P17" s="11" t="s">
        <v>124</v>
      </c>
      <c r="Q17" s="11" t="s">
        <v>100</v>
      </c>
      <c r="R17" s="11" t="s">
        <v>450</v>
      </c>
      <c r="S17" s="11" t="s">
        <v>451</v>
      </c>
    </row>
    <row r="18" customFormat="false" ht="15" hidden="false" customHeight="false" outlineLevel="0" collapsed="false">
      <c r="A18" s="5" t="s">
        <v>452</v>
      </c>
      <c r="B18" s="5" t="s">
        <v>405</v>
      </c>
      <c r="C18" s="5" t="s">
        <v>453</v>
      </c>
      <c r="D18" s="5" t="s">
        <v>96</v>
      </c>
      <c r="E18" s="6" t="n">
        <v>8515</v>
      </c>
      <c r="F18" s="5" t="s">
        <v>97</v>
      </c>
      <c r="G18" s="5" t="n">
        <v>2023</v>
      </c>
      <c r="H18" s="5" t="s">
        <v>111</v>
      </c>
      <c r="I18" s="7" t="n">
        <v>44928</v>
      </c>
      <c r="J18" s="7" t="n">
        <v>45291</v>
      </c>
      <c r="K18" s="5" t="str">
        <f aca="true">IF(J18="","",IF(J18&gt;=TODAY(),"Vigente","Encerrado"))</f>
        <v>Encerrado</v>
      </c>
      <c r="L18" s="8" t="n">
        <f aca="false">IF(OR(I18="",J18=""),"",ROUND((J18-I18)/30.44,1))</f>
        <v>11.9</v>
      </c>
      <c r="M18" s="9" t="n">
        <v>11760</v>
      </c>
      <c r="N18" s="9" t="n">
        <f aca="false">IF(OR(L18="",L18=0,M18=""),"",M18/L18)</f>
        <v>988.235294117647</v>
      </c>
      <c r="O18" s="10" t="n">
        <f aca="false">IF(OR(E18=0,N18=""),"",N18*12/E18)</f>
        <v>1.39269800697731</v>
      </c>
      <c r="P18" s="5" t="s">
        <v>124</v>
      </c>
      <c r="Q18" s="5" t="s">
        <v>100</v>
      </c>
      <c r="R18" s="5" t="s">
        <v>454</v>
      </c>
      <c r="S18" s="5" t="s">
        <v>455</v>
      </c>
    </row>
    <row r="19" customFormat="false" ht="15" hidden="false" customHeight="false" outlineLevel="0" collapsed="false">
      <c r="A19" s="11" t="s">
        <v>456</v>
      </c>
      <c r="B19" s="11" t="s">
        <v>405</v>
      </c>
      <c r="C19" s="11" t="s">
        <v>457</v>
      </c>
      <c r="D19" s="11" t="s">
        <v>137</v>
      </c>
      <c r="E19" s="12" t="n">
        <v>3534</v>
      </c>
      <c r="F19" s="11" t="s">
        <v>97</v>
      </c>
      <c r="G19" s="11" t="n">
        <v>2025</v>
      </c>
      <c r="H19" s="11" t="s">
        <v>111</v>
      </c>
      <c r="I19" s="13" t="n">
        <v>45663</v>
      </c>
      <c r="J19" s="13" t="n">
        <v>46022</v>
      </c>
      <c r="K19" s="11" t="str">
        <f aca="true">IF(J19="","",IF(J19&gt;=TODAY(),"Vigente","Encerrado"))</f>
        <v>Encerrado</v>
      </c>
      <c r="L19" s="14" t="n">
        <f aca="false">IF(OR(I19="",J19=""),"",ROUND((J19-I19)/30.44,1))</f>
        <v>11.8</v>
      </c>
      <c r="M19" s="15" t="n">
        <v>18000</v>
      </c>
      <c r="N19" s="15" t="n">
        <f aca="false">IF(OR(L19="",L19=0,M19=""),"",M19/L19)</f>
        <v>1525.42372881356</v>
      </c>
      <c r="O19" s="16" t="n">
        <f aca="false">IF(OR(E19=0,N19=""),"",N19*12/E19)</f>
        <v>5.17970705878967</v>
      </c>
      <c r="P19" s="11" t="s">
        <v>138</v>
      </c>
      <c r="Q19" s="11" t="s">
        <v>100</v>
      </c>
      <c r="R19" s="11" t="s">
        <v>458</v>
      </c>
      <c r="S19" s="11" t="s">
        <v>459</v>
      </c>
    </row>
    <row r="20" customFormat="false" ht="15" hidden="false" customHeight="false" outlineLevel="0" collapsed="false">
      <c r="A20" s="5" t="s">
        <v>460</v>
      </c>
      <c r="B20" s="5" t="s">
        <v>405</v>
      </c>
      <c r="C20" s="5" t="s">
        <v>461</v>
      </c>
      <c r="D20" s="5" t="s">
        <v>96</v>
      </c>
      <c r="E20" s="6" t="n">
        <v>10738</v>
      </c>
      <c r="F20" s="5" t="s">
        <v>97</v>
      </c>
      <c r="G20" s="5" t="n">
        <v>2024</v>
      </c>
      <c r="H20" s="5" t="s">
        <v>111</v>
      </c>
      <c r="I20" s="7" t="n">
        <v>45296</v>
      </c>
      <c r="J20" s="7" t="n">
        <v>45662</v>
      </c>
      <c r="K20" s="5" t="str">
        <f aca="true">IF(J20="","",IF(J20&gt;=TODAY(),"Vigente","Encerrado"))</f>
        <v>Encerrado</v>
      </c>
      <c r="L20" s="8" t="n">
        <f aca="false">IF(OR(I20="",J20=""),"",ROUND((J20-I20)/30.44,1))</f>
        <v>12</v>
      </c>
      <c r="M20" s="9" t="n">
        <v>18000</v>
      </c>
      <c r="N20" s="9" t="n">
        <f aca="false">IF(OR(L20="",L20=0,M20=""),"",M20/L20)</f>
        <v>1500</v>
      </c>
      <c r="O20" s="10" t="n">
        <f aca="false">IF(OR(E20=0,N20=""),"",N20*12/E20)</f>
        <v>1.67628981188303</v>
      </c>
      <c r="P20" s="5" t="s">
        <v>124</v>
      </c>
      <c r="Q20" s="5" t="s">
        <v>100</v>
      </c>
      <c r="R20" s="5" t="s">
        <v>462</v>
      </c>
      <c r="S20" s="5" t="s">
        <v>463</v>
      </c>
    </row>
    <row r="21" customFormat="false" ht="15" hidden="false" customHeight="false" outlineLevel="0" collapsed="false">
      <c r="A21" s="11" t="s">
        <v>464</v>
      </c>
      <c r="B21" s="11" t="s">
        <v>405</v>
      </c>
      <c r="C21" s="11" t="s">
        <v>104</v>
      </c>
      <c r="D21" s="11" t="s">
        <v>96</v>
      </c>
      <c r="E21" s="12" t="n">
        <v>36583</v>
      </c>
      <c r="F21" s="11" t="s">
        <v>105</v>
      </c>
      <c r="G21" s="11" t="n">
        <v>2024</v>
      </c>
      <c r="H21" s="11" t="s">
        <v>111</v>
      </c>
      <c r="I21" s="13" t="n">
        <v>45322</v>
      </c>
      <c r="J21" s="13" t="n">
        <v>45657</v>
      </c>
      <c r="K21" s="11" t="str">
        <f aca="true">IF(J21="","",IF(J21&gt;=TODAY(),"Vigente","Encerrado"))</f>
        <v>Encerrado</v>
      </c>
      <c r="L21" s="14" t="n">
        <f aca="false">IF(OR(I21="",J21=""),"",ROUND((J21-I21)/30.44,1))</f>
        <v>11</v>
      </c>
      <c r="M21" s="15" t="n">
        <v>20400</v>
      </c>
      <c r="N21" s="15" t="n">
        <f aca="false">IF(OR(L21="",L21=0,M21=""),"",M21/L21)</f>
        <v>1854.54545454545</v>
      </c>
      <c r="O21" s="16" t="n">
        <f aca="false">IF(OR(E21=0,N21=""),"",N21*12/E21)</f>
        <v>0.608330247780266</v>
      </c>
      <c r="P21" s="11" t="s">
        <v>124</v>
      </c>
      <c r="Q21" s="11" t="s">
        <v>100</v>
      </c>
      <c r="R21" s="17" t="s">
        <v>465</v>
      </c>
      <c r="S21" s="11" t="s">
        <v>466</v>
      </c>
    </row>
    <row r="22" customFormat="false" ht="15" hidden="false" customHeight="false" outlineLevel="0" collapsed="false">
      <c r="A22" s="5" t="s">
        <v>467</v>
      </c>
      <c r="B22" s="5" t="s">
        <v>405</v>
      </c>
      <c r="C22" s="5" t="s">
        <v>468</v>
      </c>
      <c r="D22" s="5" t="s">
        <v>96</v>
      </c>
      <c r="E22" s="6" t="n">
        <v>7824</v>
      </c>
      <c r="F22" s="5" t="s">
        <v>97</v>
      </c>
      <c r="G22" s="5" t="n">
        <v>2024</v>
      </c>
      <c r="H22" s="5" t="s">
        <v>111</v>
      </c>
      <c r="I22" s="7" t="n">
        <v>45299</v>
      </c>
      <c r="J22" s="7" t="n">
        <v>45657</v>
      </c>
      <c r="K22" s="5" t="str">
        <f aca="true">IF(J22="","",IF(J22&gt;=TODAY(),"Vigente","Encerrado"))</f>
        <v>Encerrado</v>
      </c>
      <c r="L22" s="8" t="n">
        <f aca="false">IF(OR(I22="",J22=""),"",ROUND((J22-I22)/30.44,1))</f>
        <v>11.8</v>
      </c>
      <c r="M22" s="9" t="n">
        <v>15600</v>
      </c>
      <c r="N22" s="9" t="n">
        <f aca="false">IF(OR(L22="",L22=0,M22=""),"",M22/L22)</f>
        <v>1322.03389830508</v>
      </c>
      <c r="O22" s="10" t="n">
        <f aca="false">IF(OR(E22=0,N22=""),"",N22*12/E22)</f>
        <v>2.02765935322866</v>
      </c>
      <c r="P22" s="5" t="s">
        <v>124</v>
      </c>
      <c r="Q22" s="5" t="s">
        <v>100</v>
      </c>
      <c r="R22" s="5" t="s">
        <v>469</v>
      </c>
      <c r="S22" s="5" t="s">
        <v>470</v>
      </c>
    </row>
    <row r="23" customFormat="false" ht="15" hidden="false" customHeight="false" outlineLevel="0" collapsed="false">
      <c r="A23" s="11" t="s">
        <v>471</v>
      </c>
      <c r="B23" s="11" t="s">
        <v>405</v>
      </c>
      <c r="C23" s="11" t="s">
        <v>472</v>
      </c>
      <c r="D23" s="11" t="s">
        <v>96</v>
      </c>
      <c r="E23" s="12" t="n">
        <v>7678</v>
      </c>
      <c r="F23" s="11" t="s">
        <v>97</v>
      </c>
      <c r="G23" s="11" t="n">
        <v>2024</v>
      </c>
      <c r="H23" s="11" t="s">
        <v>111</v>
      </c>
      <c r="I23" s="13" t="n">
        <v>45306</v>
      </c>
      <c r="J23" s="13" t="n">
        <v>45657</v>
      </c>
      <c r="K23" s="11" t="str">
        <f aca="true">IF(J23="","",IF(J23&gt;=TODAY(),"Vigente","Encerrado"))</f>
        <v>Encerrado</v>
      </c>
      <c r="L23" s="14" t="n">
        <f aca="false">IF(OR(I23="",J23=""),"",ROUND((J23-I23)/30.44,1))</f>
        <v>11.5</v>
      </c>
      <c r="M23" s="15" t="n">
        <v>14400</v>
      </c>
      <c r="N23" s="15" t="n">
        <f aca="false">IF(OR(L23="",L23=0,M23=""),"",M23/L23)</f>
        <v>1252.17391304348</v>
      </c>
      <c r="O23" s="16" t="n">
        <f aca="false">IF(OR(E23=0,N23=""),"",N23*12/E23)</f>
        <v>1.95703138271968</v>
      </c>
      <c r="P23" s="11" t="s">
        <v>124</v>
      </c>
      <c r="Q23" s="11" t="s">
        <v>100</v>
      </c>
      <c r="R23" s="11" t="s">
        <v>473</v>
      </c>
      <c r="S23" s="11" t="s">
        <v>474</v>
      </c>
    </row>
    <row r="24" customFormat="false" ht="15" hidden="false" customHeight="false" outlineLevel="0" collapsed="false">
      <c r="A24" s="5" t="s">
        <v>417</v>
      </c>
      <c r="B24" s="5" t="s">
        <v>405</v>
      </c>
      <c r="C24" s="5" t="s">
        <v>216</v>
      </c>
      <c r="D24" s="5" t="s">
        <v>96</v>
      </c>
      <c r="E24" s="6" t="n">
        <v>26638</v>
      </c>
      <c r="F24" s="5" t="s">
        <v>105</v>
      </c>
      <c r="G24" s="5" t="n">
        <v>2024</v>
      </c>
      <c r="H24" s="5" t="s">
        <v>111</v>
      </c>
      <c r="I24" s="7" t="n">
        <v>45308</v>
      </c>
      <c r="J24" s="7" t="n">
        <v>45657</v>
      </c>
      <c r="K24" s="5" t="str">
        <f aca="true">IF(J24="","",IF(J24&gt;=TODAY(),"Vigente","Encerrado"))</f>
        <v>Encerrado</v>
      </c>
      <c r="L24" s="8" t="n">
        <f aca="false">IF(OR(I24="",J24=""),"",ROUND((J24-I24)/30.44,1))</f>
        <v>11.5</v>
      </c>
      <c r="M24" s="9" t="n">
        <v>20400</v>
      </c>
      <c r="N24" s="9" t="n">
        <f aca="false">IF(OR(L24="",L24=0,M24=""),"",M24/L24)</f>
        <v>1773.91304347826</v>
      </c>
      <c r="O24" s="10" t="n">
        <f aca="false">IF(OR(E24=0,N24=""),"",N24*12/E24)</f>
        <v>0.799119923482962</v>
      </c>
      <c r="P24" s="5" t="s">
        <v>124</v>
      </c>
      <c r="Q24" s="5" t="s">
        <v>100</v>
      </c>
      <c r="R24" s="5" t="s">
        <v>475</v>
      </c>
      <c r="S24" s="5" t="s">
        <v>476</v>
      </c>
    </row>
    <row r="25" customFormat="false" ht="15" hidden="false" customHeight="false" outlineLevel="0" collapsed="false">
      <c r="A25" s="11" t="s">
        <v>477</v>
      </c>
      <c r="B25" s="11" t="s">
        <v>405</v>
      </c>
      <c r="C25" s="11" t="s">
        <v>128</v>
      </c>
      <c r="D25" s="11" t="s">
        <v>96</v>
      </c>
      <c r="E25" s="12" t="n">
        <v>4153</v>
      </c>
      <c r="F25" s="11" t="s">
        <v>97</v>
      </c>
      <c r="G25" s="11" t="n">
        <v>2024</v>
      </c>
      <c r="H25" s="11" t="s">
        <v>111</v>
      </c>
      <c r="I25" s="13" t="n">
        <v>45310</v>
      </c>
      <c r="J25" s="13" t="n">
        <v>45675</v>
      </c>
      <c r="K25" s="11" t="str">
        <f aca="true">IF(J25="","",IF(J25&gt;=TODAY(),"Vigente","Encerrado"))</f>
        <v>Encerrado</v>
      </c>
      <c r="L25" s="14" t="n">
        <f aca="false">IF(OR(I25="",J25=""),"",ROUND((J25-I25)/30.44,1))</f>
        <v>12</v>
      </c>
      <c r="M25" s="15" t="n">
        <v>15600</v>
      </c>
      <c r="N25" s="15" t="n">
        <f aca="false">IF(OR(L25="",L25=0,M25=""),"",M25/L25)</f>
        <v>1300</v>
      </c>
      <c r="O25" s="16" t="n">
        <f aca="false">IF(OR(E25=0,N25=""),"",N25*12/E25)</f>
        <v>3.75632073200096</v>
      </c>
      <c r="P25" s="11" t="s">
        <v>124</v>
      </c>
      <c r="Q25" s="11" t="s">
        <v>100</v>
      </c>
      <c r="R25" s="11" t="s">
        <v>478</v>
      </c>
      <c r="S25" s="11" t="s">
        <v>479</v>
      </c>
    </row>
    <row r="26" customFormat="false" ht="15" hidden="false" customHeight="false" outlineLevel="0" collapsed="false">
      <c r="A26" s="5" t="s">
        <v>480</v>
      </c>
      <c r="B26" s="5" t="s">
        <v>405</v>
      </c>
      <c r="C26" s="5" t="s">
        <v>132</v>
      </c>
      <c r="D26" s="5" t="s">
        <v>96</v>
      </c>
      <c r="E26" s="6" t="n">
        <v>3630</v>
      </c>
      <c r="F26" s="5" t="s">
        <v>97</v>
      </c>
      <c r="G26" s="5" t="n">
        <v>2025</v>
      </c>
      <c r="H26" s="5" t="s">
        <v>111</v>
      </c>
      <c r="I26" s="7" t="n">
        <v>45663</v>
      </c>
      <c r="J26" s="7" t="n">
        <v>46022</v>
      </c>
      <c r="K26" s="5" t="str">
        <f aca="true">IF(J26="","",IF(J26&gt;=TODAY(),"Vigente","Encerrado"))</f>
        <v>Encerrado</v>
      </c>
      <c r="L26" s="8" t="n">
        <f aca="false">IF(OR(I26="",J26=""),"",ROUND((J26-I26)/30.44,1))</f>
        <v>11.8</v>
      </c>
      <c r="M26" s="9" t="n">
        <v>18000</v>
      </c>
      <c r="N26" s="9" t="n">
        <f aca="false">IF(OR(L26="",L26=0,M26=""),"",M26/L26)</f>
        <v>1525.42372881356</v>
      </c>
      <c r="O26" s="10" t="n">
        <f aca="false">IF(OR(E26=0,N26=""),"",N26*12/E26)</f>
        <v>5.04272307045805</v>
      </c>
      <c r="P26" s="5" t="s">
        <v>124</v>
      </c>
      <c r="Q26" s="5" t="s">
        <v>100</v>
      </c>
      <c r="R26" s="5" t="s">
        <v>481</v>
      </c>
      <c r="S26" s="5" t="s">
        <v>482</v>
      </c>
    </row>
    <row r="27" customFormat="false" ht="15" hidden="false" customHeight="false" outlineLevel="0" collapsed="false">
      <c r="A27" s="11" t="s">
        <v>483</v>
      </c>
      <c r="B27" s="11" t="s">
        <v>405</v>
      </c>
      <c r="C27" s="11" t="s">
        <v>484</v>
      </c>
      <c r="D27" s="11" t="s">
        <v>137</v>
      </c>
      <c r="E27" s="12" t="n">
        <v>18031</v>
      </c>
      <c r="F27" s="11" t="s">
        <v>97</v>
      </c>
      <c r="G27" s="11" t="n">
        <v>2025</v>
      </c>
      <c r="H27" s="11" t="s">
        <v>111</v>
      </c>
      <c r="I27" s="13" t="n">
        <v>45681</v>
      </c>
      <c r="J27" s="13" t="n">
        <v>46022</v>
      </c>
      <c r="K27" s="11" t="str">
        <f aca="true">IF(J27="","",IF(J27&gt;=TODAY(),"Vigente","Encerrado"))</f>
        <v>Encerrado</v>
      </c>
      <c r="L27" s="14" t="n">
        <f aca="false">IF(OR(I27="",J27=""),"",ROUND((J27-I27)/30.44,1))</f>
        <v>11.2</v>
      </c>
      <c r="M27" s="15" t="n">
        <v>19800</v>
      </c>
      <c r="N27" s="15" t="n">
        <f aca="false">IF(OR(L27="",L27=0,M27=""),"",M27/L27)</f>
        <v>1767.85714285714</v>
      </c>
      <c r="O27" s="16" t="n">
        <f aca="false">IF(OR(E27=0,N27=""),"",N27*12/E27)</f>
        <v>1.1765451563577</v>
      </c>
      <c r="P27" s="11" t="s">
        <v>138</v>
      </c>
      <c r="Q27" s="11" t="s">
        <v>100</v>
      </c>
      <c r="R27" s="11" t="s">
        <v>485</v>
      </c>
      <c r="S27" s="11" t="s">
        <v>486</v>
      </c>
    </row>
    <row r="28" customFormat="false" ht="15" hidden="false" customHeight="false" outlineLevel="0" collapsed="false">
      <c r="A28" s="5" t="s">
        <v>487</v>
      </c>
      <c r="B28" s="5" t="s">
        <v>405</v>
      </c>
      <c r="C28" s="5" t="s">
        <v>488</v>
      </c>
      <c r="D28" s="5" t="s">
        <v>96</v>
      </c>
      <c r="E28" s="6" t="n">
        <v>4440</v>
      </c>
      <c r="F28" s="5" t="s">
        <v>97</v>
      </c>
      <c r="G28" s="5" t="n">
        <v>2024</v>
      </c>
      <c r="H28" s="5" t="s">
        <v>111</v>
      </c>
      <c r="I28" s="7" t="n">
        <v>45302</v>
      </c>
      <c r="J28" s="7" t="n">
        <v>45657</v>
      </c>
      <c r="K28" s="5" t="str">
        <f aca="true">IF(J28="","",IF(J28&gt;=TODAY(),"Vigente","Encerrado"))</f>
        <v>Encerrado</v>
      </c>
      <c r="L28" s="8" t="n">
        <f aca="false">IF(OR(I28="",J28=""),"",ROUND((J28-I28)/30.44,1))</f>
        <v>11.7</v>
      </c>
      <c r="M28" s="9" t="n">
        <v>18000</v>
      </c>
      <c r="N28" s="9" t="n">
        <f aca="false">IF(OR(L28="",L28=0,M28=""),"",M28/L28)</f>
        <v>1538.46153846154</v>
      </c>
      <c r="O28" s="10" t="n">
        <f aca="false">IF(OR(E28=0,N28=""),"",N28*12/E28)</f>
        <v>4.15800415800416</v>
      </c>
      <c r="P28" s="5" t="s">
        <v>124</v>
      </c>
      <c r="Q28" s="5" t="s">
        <v>100</v>
      </c>
      <c r="R28" s="5" t="s">
        <v>489</v>
      </c>
      <c r="S28" s="5" t="s">
        <v>490</v>
      </c>
    </row>
    <row r="29" customFormat="false" ht="15" hidden="false" customHeight="false" outlineLevel="0" collapsed="false">
      <c r="A29" s="11" t="s">
        <v>487</v>
      </c>
      <c r="B29" s="11" t="s">
        <v>405</v>
      </c>
      <c r="C29" s="11" t="s">
        <v>488</v>
      </c>
      <c r="D29" s="11" t="s">
        <v>96</v>
      </c>
      <c r="E29" s="12" t="n">
        <v>4440</v>
      </c>
      <c r="F29" s="11" t="s">
        <v>97</v>
      </c>
      <c r="G29" s="11" t="n">
        <v>2023</v>
      </c>
      <c r="H29" s="11" t="s">
        <v>111</v>
      </c>
      <c r="I29" s="13" t="n">
        <v>44932</v>
      </c>
      <c r="J29" s="13" t="n">
        <v>45291</v>
      </c>
      <c r="K29" s="11" t="str">
        <f aca="true">IF(J29="","",IF(J29&gt;=TODAY(),"Vigente","Encerrado"))</f>
        <v>Encerrado</v>
      </c>
      <c r="L29" s="14" t="n">
        <f aca="false">IF(OR(I29="",J29=""),"",ROUND((J29-I29)/30.44,1))</f>
        <v>11.8</v>
      </c>
      <c r="M29" s="15" t="n">
        <v>14844</v>
      </c>
      <c r="N29" s="15" t="n">
        <f aca="false">IF(OR(L29="",L29=0,M29=""),"",M29/L29)</f>
        <v>1257.96610169492</v>
      </c>
      <c r="O29" s="16" t="n">
        <f aca="false">IF(OR(E29=0,N29=""),"",N29*12/E29)</f>
        <v>3.39990838295923</v>
      </c>
      <c r="P29" s="11" t="s">
        <v>124</v>
      </c>
      <c r="Q29" s="11" t="s">
        <v>100</v>
      </c>
      <c r="R29" s="11" t="s">
        <v>491</v>
      </c>
      <c r="S29" s="11" t="s">
        <v>492</v>
      </c>
    </row>
    <row r="30" customFormat="false" ht="15" hidden="false" customHeight="false" outlineLevel="0" collapsed="false">
      <c r="A30" s="5" t="s">
        <v>493</v>
      </c>
      <c r="B30" s="5" t="s">
        <v>405</v>
      </c>
      <c r="C30" s="5" t="s">
        <v>494</v>
      </c>
      <c r="D30" s="5" t="s">
        <v>96</v>
      </c>
      <c r="E30" s="6" t="n">
        <v>2165</v>
      </c>
      <c r="F30" s="5" t="s">
        <v>97</v>
      </c>
      <c r="G30" s="5" t="n">
        <v>2025</v>
      </c>
      <c r="H30" s="5" t="s">
        <v>111</v>
      </c>
      <c r="I30" s="7" t="n">
        <v>45665</v>
      </c>
      <c r="J30" s="7" t="n">
        <v>46022</v>
      </c>
      <c r="K30" s="5" t="str">
        <f aca="true">IF(J30="","",IF(J30&gt;=TODAY(),"Vigente","Encerrado"))</f>
        <v>Encerrado</v>
      </c>
      <c r="L30" s="8" t="n">
        <f aca="false">IF(OR(I30="",J30=""),"",ROUND((J30-I30)/30.44,1))</f>
        <v>11.7</v>
      </c>
      <c r="M30" s="9" t="n">
        <v>11100</v>
      </c>
      <c r="N30" s="9" t="n">
        <f aca="false">IF(OR(L30="",L30=0,M30=""),"",M30/L30)</f>
        <v>948.717948717949</v>
      </c>
      <c r="O30" s="10" t="n">
        <f aca="false">IF(OR(E30=0,N30=""),"",N30*12/E30)</f>
        <v>5.25848285663528</v>
      </c>
      <c r="P30" s="5" t="s">
        <v>124</v>
      </c>
      <c r="Q30" s="5" t="s">
        <v>100</v>
      </c>
      <c r="R30" s="5" t="s">
        <v>495</v>
      </c>
      <c r="S30" s="5" t="s">
        <v>496</v>
      </c>
    </row>
    <row r="31" customFormat="false" ht="15" hidden="false" customHeight="false" outlineLevel="0" collapsed="false">
      <c r="A31" s="11" t="s">
        <v>497</v>
      </c>
      <c r="B31" s="11" t="s">
        <v>405</v>
      </c>
      <c r="C31" s="11" t="s">
        <v>498</v>
      </c>
      <c r="D31" s="11" t="s">
        <v>96</v>
      </c>
      <c r="E31" s="12" t="n">
        <v>3514</v>
      </c>
      <c r="F31" s="11" t="s">
        <v>97</v>
      </c>
      <c r="G31" s="11" t="n">
        <v>2024</v>
      </c>
      <c r="H31" s="11" t="s">
        <v>111</v>
      </c>
      <c r="I31" s="13" t="n">
        <v>45299</v>
      </c>
      <c r="J31" s="13" t="n">
        <v>45657</v>
      </c>
      <c r="K31" s="11" t="str">
        <f aca="true">IF(J31="","",IF(J31&gt;=TODAY(),"Vigente","Encerrado"))</f>
        <v>Encerrado</v>
      </c>
      <c r="L31" s="14" t="n">
        <f aca="false">IF(OR(I31="",J31=""),"",ROUND((J31-I31)/30.44,1))</f>
        <v>11.8</v>
      </c>
      <c r="M31" s="15" t="n">
        <v>15600</v>
      </c>
      <c r="N31" s="15" t="n">
        <f aca="false">IF(OR(L31="",L31=0,M31=""),"",M31/L31)</f>
        <v>1322.03389830508</v>
      </c>
      <c r="O31" s="16" t="n">
        <f aca="false">IF(OR(E31=0,N31=""),"",N31*12/E31)</f>
        <v>4.51462913479255</v>
      </c>
      <c r="P31" s="11" t="s">
        <v>124</v>
      </c>
      <c r="Q31" s="11" t="s">
        <v>100</v>
      </c>
      <c r="R31" s="11" t="s">
        <v>499</v>
      </c>
      <c r="S31" s="11" t="s">
        <v>500</v>
      </c>
    </row>
    <row r="32" customFormat="false" ht="15" hidden="false" customHeight="false" outlineLevel="0" collapsed="false">
      <c r="A32" s="5" t="s">
        <v>501</v>
      </c>
      <c r="B32" s="5" t="s">
        <v>405</v>
      </c>
      <c r="C32" s="5" t="s">
        <v>502</v>
      </c>
      <c r="D32" s="5" t="s">
        <v>96</v>
      </c>
      <c r="E32" s="6" t="n">
        <v>2964</v>
      </c>
      <c r="F32" s="5" t="s">
        <v>97</v>
      </c>
      <c r="G32" s="5" t="n">
        <v>2024</v>
      </c>
      <c r="H32" s="5" t="s">
        <v>111</v>
      </c>
      <c r="I32" s="7" t="n">
        <v>45294</v>
      </c>
      <c r="J32" s="7" t="n">
        <v>45657</v>
      </c>
      <c r="K32" s="5" t="str">
        <f aca="true">IF(J32="","",IF(J32&gt;=TODAY(),"Vigente","Encerrado"))</f>
        <v>Encerrado</v>
      </c>
      <c r="L32" s="8" t="n">
        <f aca="false">IF(OR(I32="",J32=""),"",ROUND((J32-I32)/30.44,1))</f>
        <v>11.9</v>
      </c>
      <c r="M32" s="9" t="n">
        <v>18000</v>
      </c>
      <c r="N32" s="9" t="n">
        <f aca="false">IF(OR(L32="",L32=0,M32=""),"",M32/L32)</f>
        <v>1512.60504201681</v>
      </c>
      <c r="O32" s="10" t="n">
        <f aca="false">IF(OR(E32=0,N32=""),"",N32*12/E32)</f>
        <v>6.12390705269962</v>
      </c>
      <c r="P32" s="5" t="s">
        <v>124</v>
      </c>
      <c r="Q32" s="5" t="s">
        <v>100</v>
      </c>
      <c r="R32" s="5" t="s">
        <v>503</v>
      </c>
      <c r="S32" s="5" t="s">
        <v>504</v>
      </c>
    </row>
    <row r="33" customFormat="false" ht="15" hidden="false" customHeight="false" outlineLevel="0" collapsed="false">
      <c r="A33" s="11" t="s">
        <v>505</v>
      </c>
      <c r="B33" s="11" t="s">
        <v>405</v>
      </c>
      <c r="C33" s="11" t="s">
        <v>265</v>
      </c>
      <c r="D33" s="11" t="s">
        <v>96</v>
      </c>
      <c r="E33" s="12" t="n">
        <v>2729</v>
      </c>
      <c r="F33" s="11" t="s">
        <v>97</v>
      </c>
      <c r="G33" s="11" t="n">
        <v>2024</v>
      </c>
      <c r="H33" s="11" t="s">
        <v>111</v>
      </c>
      <c r="I33" s="13" t="n">
        <v>45352</v>
      </c>
      <c r="J33" s="13" t="n">
        <v>45657</v>
      </c>
      <c r="K33" s="11" t="str">
        <f aca="true">IF(J33="","",IF(J33&gt;=TODAY(),"Vigente","Encerrado"))</f>
        <v>Encerrado</v>
      </c>
      <c r="L33" s="14" t="n">
        <f aca="false">IF(OR(I33="",J33=""),"",ROUND((J33-I33)/30.44,1))</f>
        <v>10</v>
      </c>
      <c r="M33" s="15" t="n">
        <v>14400</v>
      </c>
      <c r="N33" s="15" t="n">
        <f aca="false">IF(OR(L33="",L33=0,M33=""),"",M33/L33)</f>
        <v>1440</v>
      </c>
      <c r="O33" s="16" t="n">
        <f aca="false">IF(OR(E33=0,N33=""),"",N33*12/E33)</f>
        <v>6.33198973983144</v>
      </c>
      <c r="P33" s="11" t="s">
        <v>124</v>
      </c>
      <c r="Q33" s="11" t="s">
        <v>100</v>
      </c>
      <c r="R33" s="11" t="s">
        <v>506</v>
      </c>
      <c r="S33" s="11" t="s">
        <v>507</v>
      </c>
    </row>
    <row r="34" customFormat="false" ht="15" hidden="false" customHeight="false" outlineLevel="0" collapsed="false">
      <c r="A34" s="5" t="s">
        <v>508</v>
      </c>
      <c r="B34" s="5" t="s">
        <v>405</v>
      </c>
      <c r="C34" s="5" t="s">
        <v>509</v>
      </c>
      <c r="D34" s="5" t="s">
        <v>96</v>
      </c>
      <c r="E34" s="6" t="n">
        <v>19901</v>
      </c>
      <c r="F34" s="5" t="s">
        <v>97</v>
      </c>
      <c r="G34" s="5" t="n">
        <v>2024</v>
      </c>
      <c r="H34" s="5" t="s">
        <v>111</v>
      </c>
      <c r="I34" s="7" t="n">
        <v>45308</v>
      </c>
      <c r="J34" s="7" t="n">
        <v>45657</v>
      </c>
      <c r="K34" s="5" t="str">
        <f aca="true">IF(J34="","",IF(J34&gt;=TODAY(),"Vigente","Encerrado"))</f>
        <v>Encerrado</v>
      </c>
      <c r="L34" s="8" t="n">
        <f aca="false">IF(OR(I34="",J34=""),"",ROUND((J34-I34)/30.44,1))</f>
        <v>11.5</v>
      </c>
      <c r="M34" s="9" t="n">
        <v>18000</v>
      </c>
      <c r="N34" s="9" t="n">
        <f aca="false">IF(OR(L34="",L34=0,M34=""),"",M34/L34)</f>
        <v>1565.21739130435</v>
      </c>
      <c r="O34" s="10" t="n">
        <f aca="false">IF(OR(E34=0,N34=""),"",N34*12/E34)</f>
        <v>0.943802255949559</v>
      </c>
      <c r="P34" s="5" t="s">
        <v>124</v>
      </c>
      <c r="Q34" s="5" t="s">
        <v>100</v>
      </c>
      <c r="R34" s="5" t="s">
        <v>510</v>
      </c>
      <c r="S34" s="5" t="s">
        <v>511</v>
      </c>
    </row>
    <row r="35" customFormat="false" ht="15" hidden="false" customHeight="false" outlineLevel="0" collapsed="false">
      <c r="A35" s="11" t="s">
        <v>512</v>
      </c>
      <c r="B35" s="11" t="s">
        <v>405</v>
      </c>
      <c r="C35" s="11" t="s">
        <v>146</v>
      </c>
      <c r="D35" s="11" t="s">
        <v>96</v>
      </c>
      <c r="E35" s="12" t="n">
        <v>2893</v>
      </c>
      <c r="F35" s="11" t="s">
        <v>97</v>
      </c>
      <c r="G35" s="11" t="n">
        <v>2024</v>
      </c>
      <c r="H35" s="11" t="s">
        <v>111</v>
      </c>
      <c r="I35" s="13" t="n">
        <v>45294</v>
      </c>
      <c r="J35" s="13" t="n">
        <v>45657</v>
      </c>
      <c r="K35" s="11" t="str">
        <f aca="true">IF(J35="","",IF(J35&gt;=TODAY(),"Vigente","Encerrado"))</f>
        <v>Encerrado</v>
      </c>
      <c r="L35" s="14" t="n">
        <f aca="false">IF(OR(I35="",J35=""),"",ROUND((J35-I35)/30.44,1))</f>
        <v>11.9</v>
      </c>
      <c r="M35" s="15" t="n">
        <v>15600</v>
      </c>
      <c r="N35" s="15" t="n">
        <f aca="false">IF(OR(L35="",L35=0,M35=""),"",M35/L35)</f>
        <v>1310.9243697479</v>
      </c>
      <c r="O35" s="16" t="n">
        <f aca="false">IF(OR(E35=0,N35=""),"",N35*12/E35)</f>
        <v>5.43763997130135</v>
      </c>
      <c r="P35" s="11" t="s">
        <v>124</v>
      </c>
      <c r="Q35" s="11" t="s">
        <v>100</v>
      </c>
      <c r="R35" s="11" t="s">
        <v>513</v>
      </c>
      <c r="S35" s="11" t="s">
        <v>514</v>
      </c>
    </row>
    <row r="36" customFormat="false" ht="15" hidden="false" customHeight="false" outlineLevel="0" collapsed="false">
      <c r="A36" s="5" t="s">
        <v>515</v>
      </c>
      <c r="B36" s="5" t="s">
        <v>405</v>
      </c>
      <c r="C36" s="5" t="s">
        <v>516</v>
      </c>
      <c r="D36" s="5" t="s">
        <v>96</v>
      </c>
      <c r="E36" s="6" t="n">
        <v>34466</v>
      </c>
      <c r="F36" s="5" t="s">
        <v>105</v>
      </c>
      <c r="G36" s="5" t="n">
        <v>2024</v>
      </c>
      <c r="H36" s="5" t="s">
        <v>111</v>
      </c>
      <c r="I36" s="7" t="n">
        <v>45309</v>
      </c>
      <c r="J36" s="7" t="n">
        <v>45657</v>
      </c>
      <c r="K36" s="5" t="str">
        <f aca="true">IF(J36="","",IF(J36&gt;=TODAY(),"Vigente","Encerrado"))</f>
        <v>Encerrado</v>
      </c>
      <c r="L36" s="8" t="n">
        <f aca="false">IF(OR(I36="",J36=""),"",ROUND((J36-I36)/30.44,1))</f>
        <v>11.4</v>
      </c>
      <c r="M36" s="9" t="n">
        <v>20400</v>
      </c>
      <c r="N36" s="9" t="n">
        <f aca="false">IF(OR(L36="",L36=0,M36=""),"",M36/L36)</f>
        <v>1789.47368421053</v>
      </c>
      <c r="O36" s="10" t="n">
        <f aca="false">IF(OR(E36=0,N36=""),"",N36*12/E36)</f>
        <v>0.623039639369997</v>
      </c>
      <c r="P36" s="5" t="s">
        <v>124</v>
      </c>
      <c r="Q36" s="5" t="s">
        <v>100</v>
      </c>
      <c r="R36" s="5" t="s">
        <v>517</v>
      </c>
      <c r="S36" s="5" t="s">
        <v>518</v>
      </c>
    </row>
    <row r="37" customFormat="false" ht="15" hidden="false" customHeight="false" outlineLevel="0" collapsed="false">
      <c r="A37" s="11" t="s">
        <v>426</v>
      </c>
      <c r="B37" s="11" t="s">
        <v>405</v>
      </c>
      <c r="C37" s="11" t="s">
        <v>427</v>
      </c>
      <c r="D37" s="11" t="s">
        <v>96</v>
      </c>
      <c r="E37" s="12" t="n">
        <v>2273</v>
      </c>
      <c r="F37" s="11" t="s">
        <v>97</v>
      </c>
      <c r="G37" s="11" t="n">
        <v>2024</v>
      </c>
      <c r="H37" s="11" t="s">
        <v>111</v>
      </c>
      <c r="I37" s="13" t="n">
        <v>45307</v>
      </c>
      <c r="J37" s="13" t="n">
        <v>45657</v>
      </c>
      <c r="K37" s="11" t="str">
        <f aca="true">IF(J37="","",IF(J37&gt;=TODAY(),"Vigente","Encerrado"))</f>
        <v>Encerrado</v>
      </c>
      <c r="L37" s="14" t="n">
        <f aca="false">IF(OR(I37="",J37=""),"",ROUND((J37-I37)/30.44,1))</f>
        <v>11.5</v>
      </c>
      <c r="M37" s="15" t="n">
        <v>14400</v>
      </c>
      <c r="N37" s="15" t="n">
        <f aca="false">IF(OR(L37="",L37=0,M37=""),"",M37/L37)</f>
        <v>1252.17391304348</v>
      </c>
      <c r="O37" s="16" t="n">
        <f aca="false">IF(OR(E37=0,N37=""),"",N37*12/E37)</f>
        <v>6.61068497867213</v>
      </c>
      <c r="P37" s="11" t="s">
        <v>124</v>
      </c>
      <c r="Q37" s="11" t="s">
        <v>100</v>
      </c>
      <c r="R37" s="11" t="s">
        <v>519</v>
      </c>
      <c r="S37" s="11" t="s">
        <v>520</v>
      </c>
    </row>
    <row r="38" customFormat="false" ht="15" hidden="false" customHeight="false" outlineLevel="0" collapsed="false">
      <c r="A38" s="5" t="s">
        <v>521</v>
      </c>
      <c r="B38" s="5" t="s">
        <v>405</v>
      </c>
      <c r="C38" s="5" t="s">
        <v>522</v>
      </c>
      <c r="D38" s="5" t="s">
        <v>96</v>
      </c>
      <c r="E38" s="6" t="n">
        <v>11913</v>
      </c>
      <c r="F38" s="5" t="s">
        <v>97</v>
      </c>
      <c r="G38" s="5" t="n">
        <v>2025</v>
      </c>
      <c r="H38" s="5" t="s">
        <v>111</v>
      </c>
      <c r="I38" s="7" t="n">
        <v>45670</v>
      </c>
      <c r="J38" s="7" t="n">
        <v>46022</v>
      </c>
      <c r="K38" s="5" t="str">
        <f aca="true">IF(J38="","",IF(J38&gt;=TODAY(),"Vigente","Encerrado"))</f>
        <v>Encerrado</v>
      </c>
      <c r="L38" s="8" t="n">
        <f aca="false">IF(OR(I38="",J38=""),"",ROUND((J38-I38)/30.44,1))</f>
        <v>11.6</v>
      </c>
      <c r="M38" s="9" t="n">
        <v>19800</v>
      </c>
      <c r="N38" s="9" t="n">
        <f aca="false">IF(OR(L38="",L38=0,M38=""),"",M38/L38)</f>
        <v>1706.89655172414</v>
      </c>
      <c r="O38" s="10" t="n">
        <f aca="false">IF(OR(E38=0,N38=""),"",N38*12/E38)</f>
        <v>1.71936192568536</v>
      </c>
      <c r="P38" s="5" t="s">
        <v>124</v>
      </c>
      <c r="Q38" s="5" t="s">
        <v>100</v>
      </c>
      <c r="R38" s="5" t="s">
        <v>523</v>
      </c>
      <c r="S38" s="5" t="s">
        <v>524</v>
      </c>
    </row>
    <row r="39" customFormat="false" ht="15" hidden="false" customHeight="false" outlineLevel="0" collapsed="false">
      <c r="A39" s="11" t="s">
        <v>521</v>
      </c>
      <c r="B39" s="11" t="s">
        <v>405</v>
      </c>
      <c r="C39" s="11" t="s">
        <v>522</v>
      </c>
      <c r="D39" s="11" t="s">
        <v>96</v>
      </c>
      <c r="E39" s="12" t="n">
        <v>11913</v>
      </c>
      <c r="F39" s="11" t="s">
        <v>97</v>
      </c>
      <c r="G39" s="11" t="n">
        <v>2024</v>
      </c>
      <c r="H39" s="11" t="s">
        <v>111</v>
      </c>
      <c r="I39" s="13" t="n">
        <v>45321</v>
      </c>
      <c r="J39" s="13" t="n">
        <v>45657</v>
      </c>
      <c r="K39" s="11" t="str">
        <f aca="true">IF(J39="","",IF(J39&gt;=TODAY(),"Vigente","Encerrado"))</f>
        <v>Encerrado</v>
      </c>
      <c r="L39" s="14" t="n">
        <f aca="false">IF(OR(I39="",J39=""),"",ROUND((J39-I39)/30.44,1))</f>
        <v>11</v>
      </c>
      <c r="M39" s="15" t="n">
        <v>18000</v>
      </c>
      <c r="N39" s="15" t="n">
        <f aca="false">IF(OR(L39="",L39=0,M39=""),"",M39/L39)</f>
        <v>1636.36363636364</v>
      </c>
      <c r="O39" s="16" t="n">
        <f aca="false">IF(OR(E39=0,N39=""),"",N39*12/E39)</f>
        <v>1.64831391222728</v>
      </c>
      <c r="P39" s="11" t="s">
        <v>124</v>
      </c>
      <c r="Q39" s="11" t="s">
        <v>100</v>
      </c>
      <c r="R39" s="11" t="s">
        <v>525</v>
      </c>
      <c r="S39" s="11" t="s">
        <v>526</v>
      </c>
    </row>
    <row r="40" customFormat="false" ht="15" hidden="false" customHeight="false" outlineLevel="0" collapsed="false">
      <c r="A40" s="5" t="s">
        <v>527</v>
      </c>
      <c r="B40" s="5" t="s">
        <v>405</v>
      </c>
      <c r="C40" s="5" t="s">
        <v>528</v>
      </c>
      <c r="D40" s="5" t="s">
        <v>137</v>
      </c>
      <c r="E40" s="6" t="n">
        <v>2265</v>
      </c>
      <c r="F40" s="5" t="s">
        <v>97</v>
      </c>
      <c r="G40" s="5" t="n">
        <v>2025</v>
      </c>
      <c r="H40" s="5" t="s">
        <v>111</v>
      </c>
      <c r="I40" s="7" t="n">
        <v>45673</v>
      </c>
      <c r="J40" s="7" t="n">
        <v>46022</v>
      </c>
      <c r="K40" s="5" t="str">
        <f aca="true">IF(J40="","",IF(J40&gt;=TODAY(),"Vigente","Encerrado"))</f>
        <v>Encerrado</v>
      </c>
      <c r="L40" s="8" t="n">
        <f aca="false">IF(OR(I40="",J40=""),"",ROUND((J40-I40)/30.44,1))</f>
        <v>11.5</v>
      </c>
      <c r="M40" s="9" t="n">
        <v>16800</v>
      </c>
      <c r="N40" s="9" t="n">
        <f aca="false">IF(OR(L40="",L40=0,M40=""),"",M40/L40)</f>
        <v>1460.86956521739</v>
      </c>
      <c r="O40" s="10" t="n">
        <f aca="false">IF(OR(E40=0,N40=""),"",N40*12/E40)</f>
        <v>7.7397063057875</v>
      </c>
      <c r="P40" s="5" t="s">
        <v>138</v>
      </c>
      <c r="Q40" s="5" t="s">
        <v>100</v>
      </c>
      <c r="R40" s="5" t="s">
        <v>529</v>
      </c>
      <c r="S40" s="5" t="s">
        <v>530</v>
      </c>
    </row>
    <row r="41" customFormat="false" ht="15" hidden="false" customHeight="false" outlineLevel="0" collapsed="false">
      <c r="A41" s="11" t="s">
        <v>531</v>
      </c>
      <c r="B41" s="11" t="s">
        <v>405</v>
      </c>
      <c r="C41" s="11" t="s">
        <v>532</v>
      </c>
      <c r="D41" s="11" t="s">
        <v>96</v>
      </c>
      <c r="E41" s="12" t="n">
        <v>2190</v>
      </c>
      <c r="F41" s="11" t="s">
        <v>97</v>
      </c>
      <c r="G41" s="11" t="n">
        <v>2024</v>
      </c>
      <c r="H41" s="11" t="s">
        <v>111</v>
      </c>
      <c r="I41" s="13" t="n">
        <v>45308</v>
      </c>
      <c r="J41" s="13" t="n">
        <v>45657</v>
      </c>
      <c r="K41" s="11" t="str">
        <f aca="true">IF(J41="","",IF(J41&gt;=TODAY(),"Vigente","Encerrado"))</f>
        <v>Encerrado</v>
      </c>
      <c r="L41" s="14" t="n">
        <f aca="false">IF(OR(I41="",J41=""),"",ROUND((J41-I41)/30.44,1))</f>
        <v>11.5</v>
      </c>
      <c r="M41" s="15" t="n">
        <v>12000</v>
      </c>
      <c r="N41" s="15" t="n">
        <f aca="false">IF(OR(L41="",L41=0,M41=""),"",M41/L41)</f>
        <v>1043.47826086957</v>
      </c>
      <c r="O41" s="16" t="n">
        <f aca="false">IF(OR(E41=0,N41=""),"",N41*12/E41)</f>
        <v>5.71768910065515</v>
      </c>
      <c r="P41" s="11" t="s">
        <v>124</v>
      </c>
      <c r="Q41" s="11" t="s">
        <v>100</v>
      </c>
      <c r="R41" s="11" t="s">
        <v>533</v>
      </c>
      <c r="S41" s="11" t="s">
        <v>534</v>
      </c>
    </row>
    <row r="42" customFormat="false" ht="15" hidden="false" customHeight="false" outlineLevel="0" collapsed="false">
      <c r="A42" s="5" t="s">
        <v>535</v>
      </c>
      <c r="B42" s="5" t="s">
        <v>405</v>
      </c>
      <c r="C42" s="5" t="s">
        <v>536</v>
      </c>
      <c r="D42" s="5" t="s">
        <v>137</v>
      </c>
      <c r="E42" s="6" t="n">
        <v>23203</v>
      </c>
      <c r="F42" s="5" t="s">
        <v>105</v>
      </c>
      <c r="G42" s="5" t="n">
        <v>2025</v>
      </c>
      <c r="H42" s="5" t="s">
        <v>111</v>
      </c>
      <c r="I42" s="7" t="n">
        <v>45663</v>
      </c>
      <c r="J42" s="7" t="n">
        <v>46022</v>
      </c>
      <c r="K42" s="5" t="str">
        <f aca="true">IF(J42="","",IF(J42&gt;=TODAY(),"Vigente","Encerrado"))</f>
        <v>Encerrado</v>
      </c>
      <c r="L42" s="8" t="n">
        <f aca="false">IF(OR(I42="",J42=""),"",ROUND((J42-I42)/30.44,1))</f>
        <v>11.8</v>
      </c>
      <c r="M42" s="9" t="n">
        <v>22800</v>
      </c>
      <c r="N42" s="9" t="n">
        <f aca="false">IF(OR(L42="",L42=0,M42=""),"",M42/L42)</f>
        <v>1932.20338983051</v>
      </c>
      <c r="O42" s="10" t="n">
        <f aca="false">IF(OR(E42=0,N42=""),"",N42*12/E42)</f>
        <v>0.999286328404349</v>
      </c>
      <c r="P42" s="5" t="s">
        <v>138</v>
      </c>
      <c r="Q42" s="5" t="s">
        <v>100</v>
      </c>
      <c r="R42" s="5" t="s">
        <v>537</v>
      </c>
      <c r="S42" s="5" t="s">
        <v>538</v>
      </c>
    </row>
    <row r="43" customFormat="false" ht="15" hidden="false" customHeight="false" outlineLevel="0" collapsed="false">
      <c r="A43" s="11" t="s">
        <v>539</v>
      </c>
      <c r="B43" s="11" t="s">
        <v>405</v>
      </c>
      <c r="C43" s="11" t="s">
        <v>391</v>
      </c>
      <c r="D43" s="11" t="s">
        <v>96</v>
      </c>
      <c r="E43" s="12" t="n">
        <v>44150</v>
      </c>
      <c r="F43" s="11" t="s">
        <v>105</v>
      </c>
      <c r="G43" s="11" t="n">
        <v>2024</v>
      </c>
      <c r="H43" s="11" t="s">
        <v>111</v>
      </c>
      <c r="I43" s="13" t="n">
        <v>45299</v>
      </c>
      <c r="J43" s="13" t="n">
        <v>45657</v>
      </c>
      <c r="K43" s="11" t="str">
        <f aca="true">IF(J43="","",IF(J43&gt;=TODAY(),"Vigente","Encerrado"))</f>
        <v>Encerrado</v>
      </c>
      <c r="L43" s="14" t="n">
        <f aca="false">IF(OR(I43="",J43=""),"",ROUND((J43-I43)/30.44,1))</f>
        <v>11.8</v>
      </c>
      <c r="M43" s="15" t="n">
        <v>24000</v>
      </c>
      <c r="N43" s="15" t="n">
        <f aca="false">IF(OR(L43="",L43=0,M43=""),"",M43/L43)</f>
        <v>2033.89830508475</v>
      </c>
      <c r="O43" s="16" t="n">
        <f aca="false">IF(OR(E43=0,N43=""),"",N43*12/E43)</f>
        <v>0.552814941359387</v>
      </c>
      <c r="P43" s="11" t="s">
        <v>124</v>
      </c>
      <c r="Q43" s="11" t="s">
        <v>100</v>
      </c>
      <c r="R43" s="11" t="s">
        <v>540</v>
      </c>
      <c r="S43" s="11" t="s">
        <v>541</v>
      </c>
    </row>
    <row r="44" customFormat="false" ht="15" hidden="false" customHeight="false" outlineLevel="0" collapsed="false">
      <c r="A44" s="5" t="s">
        <v>404</v>
      </c>
      <c r="B44" s="5" t="s">
        <v>405</v>
      </c>
      <c r="C44" s="5" t="s">
        <v>406</v>
      </c>
      <c r="D44" s="5" t="s">
        <v>96</v>
      </c>
      <c r="E44" s="6" t="n">
        <v>2297</v>
      </c>
      <c r="F44" s="5" t="s">
        <v>97</v>
      </c>
      <c r="G44" s="5" t="n">
        <v>2025</v>
      </c>
      <c r="H44" s="5" t="s">
        <v>111</v>
      </c>
      <c r="I44" s="7" t="n">
        <v>45665</v>
      </c>
      <c r="J44" s="7" t="n">
        <v>46022</v>
      </c>
      <c r="K44" s="5" t="str">
        <f aca="true">IF(J44="","",IF(J44&gt;=TODAY(),"Vigente","Encerrado"))</f>
        <v>Encerrado</v>
      </c>
      <c r="L44" s="8" t="n">
        <f aca="false">IF(OR(I44="",J44=""),"",ROUND((J44-I44)/30.44,1))</f>
        <v>11.7</v>
      </c>
      <c r="M44" s="9" t="n">
        <v>16800</v>
      </c>
      <c r="N44" s="9" t="n">
        <f aca="false">IF(OR(L44="",L44=0,M44=""),"",M44/L44)</f>
        <v>1435.89743589744</v>
      </c>
      <c r="O44" s="10" t="n">
        <f aca="false">IF(OR(E44=0,N44=""),"",N44*12/E44)</f>
        <v>7.50142326110981</v>
      </c>
      <c r="P44" s="5" t="s">
        <v>167</v>
      </c>
      <c r="Q44" s="5" t="s">
        <v>100</v>
      </c>
      <c r="R44" s="5" t="s">
        <v>542</v>
      </c>
      <c r="S44" s="5" t="s">
        <v>543</v>
      </c>
    </row>
    <row r="45" customFormat="false" ht="15" hidden="false" customHeight="false" outlineLevel="0" collapsed="false">
      <c r="A45" s="11" t="s">
        <v>404</v>
      </c>
      <c r="B45" s="11" t="s">
        <v>405</v>
      </c>
      <c r="C45" s="11" t="s">
        <v>406</v>
      </c>
      <c r="D45" s="11" t="s">
        <v>96</v>
      </c>
      <c r="E45" s="12" t="n">
        <v>2297</v>
      </c>
      <c r="F45" s="11" t="s">
        <v>97</v>
      </c>
      <c r="G45" s="11" t="n">
        <v>2024</v>
      </c>
      <c r="H45" s="11" t="s">
        <v>111</v>
      </c>
      <c r="I45" s="13" t="n">
        <v>45299</v>
      </c>
      <c r="J45" s="13" t="n">
        <v>45657</v>
      </c>
      <c r="K45" s="11" t="str">
        <f aca="true">IF(J45="","",IF(J45&gt;=TODAY(),"Vigente","Encerrado"))</f>
        <v>Encerrado</v>
      </c>
      <c r="L45" s="14" t="n">
        <f aca="false">IF(OR(I45="",J45=""),"",ROUND((J45-I45)/30.44,1))</f>
        <v>11.8</v>
      </c>
      <c r="M45" s="15" t="n">
        <v>14400</v>
      </c>
      <c r="N45" s="15" t="n">
        <f aca="false">IF(OR(L45="",L45=0,M45=""),"",M45/L45)</f>
        <v>1220.33898305085</v>
      </c>
      <c r="O45" s="16" t="n">
        <f aca="false">IF(OR(E45=0,N45=""),"",N45*12/E45)</f>
        <v>6.37530160932093</v>
      </c>
      <c r="P45" s="11" t="s">
        <v>167</v>
      </c>
      <c r="Q45" s="11" t="s">
        <v>100</v>
      </c>
      <c r="R45" s="11" t="s">
        <v>544</v>
      </c>
      <c r="S45" s="11" t="s">
        <v>545</v>
      </c>
    </row>
    <row r="46" customFormat="false" ht="15" hidden="false" customHeight="false" outlineLevel="0" collapsed="false">
      <c r="A46" s="5" t="s">
        <v>546</v>
      </c>
      <c r="B46" s="5" t="s">
        <v>405</v>
      </c>
      <c r="C46" s="5" t="s">
        <v>547</v>
      </c>
      <c r="D46" s="5" t="s">
        <v>96</v>
      </c>
      <c r="E46" s="6" t="n">
        <v>28009</v>
      </c>
      <c r="F46" s="5" t="s">
        <v>105</v>
      </c>
      <c r="G46" s="5" t="n">
        <v>2025</v>
      </c>
      <c r="H46" s="5" t="s">
        <v>111</v>
      </c>
      <c r="I46" s="7" t="n">
        <v>45672</v>
      </c>
      <c r="J46" s="7" t="n">
        <v>46022</v>
      </c>
      <c r="K46" s="5" t="str">
        <f aca="true">IF(J46="","",IF(J46&gt;=TODAY(),"Vigente","Encerrado"))</f>
        <v>Encerrado</v>
      </c>
      <c r="L46" s="8" t="n">
        <f aca="false">IF(OR(I46="",J46=""),"",ROUND((J46-I46)/30.44,1))</f>
        <v>11.5</v>
      </c>
      <c r="M46" s="9" t="n">
        <v>36000</v>
      </c>
      <c r="N46" s="9" t="n">
        <f aca="false">IF(OR(L46="",L46=0,M46=""),"",M46/L46)</f>
        <v>3130.4347826087</v>
      </c>
      <c r="O46" s="10" t="n">
        <f aca="false">IF(OR(E46=0,N46=""),"",N46*12/E46)</f>
        <v>1.34118381203557</v>
      </c>
      <c r="P46" s="5" t="s">
        <v>167</v>
      </c>
      <c r="Q46" s="5" t="s">
        <v>100</v>
      </c>
      <c r="R46" s="5" t="s">
        <v>548</v>
      </c>
      <c r="S46" s="5" t="s">
        <v>549</v>
      </c>
    </row>
    <row r="47" customFormat="false" ht="15" hidden="false" customHeight="false" outlineLevel="0" collapsed="false">
      <c r="A47" s="11" t="s">
        <v>546</v>
      </c>
      <c r="B47" s="11" t="s">
        <v>405</v>
      </c>
      <c r="C47" s="11" t="s">
        <v>547</v>
      </c>
      <c r="D47" s="11" t="s">
        <v>96</v>
      </c>
      <c r="E47" s="12" t="n">
        <v>28009</v>
      </c>
      <c r="F47" s="11" t="s">
        <v>105</v>
      </c>
      <c r="G47" s="11" t="n">
        <v>2024</v>
      </c>
      <c r="H47" s="11" t="s">
        <v>111</v>
      </c>
      <c r="I47" s="13" t="n">
        <v>45296</v>
      </c>
      <c r="J47" s="13" t="n">
        <v>45657</v>
      </c>
      <c r="K47" s="11" t="str">
        <f aca="true">IF(J47="","",IF(J47&gt;=TODAY(),"Vigente","Encerrado"))</f>
        <v>Encerrado</v>
      </c>
      <c r="L47" s="14" t="n">
        <f aca="false">IF(OR(I47="",J47=""),"",ROUND((J47-I47)/30.44,1))</f>
        <v>11.9</v>
      </c>
      <c r="M47" s="15" t="n">
        <v>30000</v>
      </c>
      <c r="N47" s="15" t="n">
        <f aca="false">IF(OR(L47="",L47=0,M47=""),"",M47/L47)</f>
        <v>2521.00840336134</v>
      </c>
      <c r="O47" s="16" t="n">
        <f aca="false">IF(OR(E47=0,N47=""),"",N47*12/E47)</f>
        <v>1.08008500268971</v>
      </c>
      <c r="P47" s="11" t="s">
        <v>167</v>
      </c>
      <c r="Q47" s="11" t="s">
        <v>100</v>
      </c>
      <c r="R47" s="11" t="s">
        <v>550</v>
      </c>
      <c r="S47" s="11" t="s">
        <v>551</v>
      </c>
    </row>
    <row r="48" customFormat="false" ht="15" hidden="false" customHeight="false" outlineLevel="0" collapsed="false">
      <c r="A48" s="5" t="s">
        <v>552</v>
      </c>
      <c r="B48" s="5" t="s">
        <v>405</v>
      </c>
      <c r="C48" s="5" t="s">
        <v>166</v>
      </c>
      <c r="D48" s="5" t="s">
        <v>96</v>
      </c>
      <c r="E48" s="6" t="n">
        <v>1984</v>
      </c>
      <c r="F48" s="5" t="s">
        <v>97</v>
      </c>
      <c r="G48" s="5" t="n">
        <v>2025</v>
      </c>
      <c r="H48" s="5" t="s">
        <v>111</v>
      </c>
      <c r="I48" s="7" t="n">
        <v>45687</v>
      </c>
      <c r="J48" s="7" t="n">
        <v>46022</v>
      </c>
      <c r="K48" s="5" t="str">
        <f aca="true">IF(J48="","",IF(J48&gt;=TODAY(),"Vigente","Encerrado"))</f>
        <v>Encerrado</v>
      </c>
      <c r="L48" s="8" t="n">
        <f aca="false">IF(OR(I48="",J48=""),"",ROUND((J48-I48)/30.44,1))</f>
        <v>11</v>
      </c>
      <c r="M48" s="9" t="n">
        <v>16200</v>
      </c>
      <c r="N48" s="9" t="n">
        <f aca="false">IF(OR(L48="",L48=0,M48=""),"",M48/L48)</f>
        <v>1472.72727272727</v>
      </c>
      <c r="O48" s="10" t="n">
        <f aca="false">IF(OR(E48=0,N48=""),"",N48*12/E48)</f>
        <v>8.90762463343109</v>
      </c>
      <c r="P48" s="5" t="s">
        <v>167</v>
      </c>
      <c r="Q48" s="5" t="s">
        <v>100</v>
      </c>
      <c r="R48" s="5" t="s">
        <v>553</v>
      </c>
      <c r="S48" s="5" t="s">
        <v>554</v>
      </c>
    </row>
    <row r="49" customFormat="false" ht="15" hidden="false" customHeight="false" outlineLevel="0" collapsed="false">
      <c r="A49" s="11" t="s">
        <v>552</v>
      </c>
      <c r="B49" s="11" t="s">
        <v>405</v>
      </c>
      <c r="C49" s="11" t="s">
        <v>166</v>
      </c>
      <c r="D49" s="11" t="s">
        <v>96</v>
      </c>
      <c r="E49" s="12" t="n">
        <v>1984</v>
      </c>
      <c r="F49" s="11" t="s">
        <v>97</v>
      </c>
      <c r="G49" s="11" t="n">
        <v>2024</v>
      </c>
      <c r="H49" s="11" t="s">
        <v>111</v>
      </c>
      <c r="I49" s="13" t="n">
        <v>45343</v>
      </c>
      <c r="J49" s="13" t="n">
        <v>45657</v>
      </c>
      <c r="K49" s="11" t="str">
        <f aca="true">IF(J49="","",IF(J49&gt;=TODAY(),"Vigente","Encerrado"))</f>
        <v>Encerrado</v>
      </c>
      <c r="L49" s="14" t="n">
        <f aca="false">IF(OR(I49="",J49=""),"",ROUND((J49-I49)/30.44,1))</f>
        <v>10.3</v>
      </c>
      <c r="M49" s="15" t="n">
        <v>13800</v>
      </c>
      <c r="N49" s="15" t="n">
        <f aca="false">IF(OR(L49="",L49=0,M49=""),"",M49/L49)</f>
        <v>1339.80582524272</v>
      </c>
      <c r="O49" s="16" t="n">
        <f aca="false">IF(OR(E49=0,N49=""),"",N49*12/E49)</f>
        <v>8.10366426558096</v>
      </c>
      <c r="P49" s="11" t="s">
        <v>167</v>
      </c>
      <c r="Q49" s="11" t="s">
        <v>100</v>
      </c>
      <c r="R49" s="11" t="s">
        <v>555</v>
      </c>
      <c r="S49" s="11" t="s">
        <v>556</v>
      </c>
    </row>
    <row r="50" customFormat="false" ht="15" hidden="false" customHeight="false" outlineLevel="0" collapsed="false">
      <c r="A50" s="5" t="s">
        <v>409</v>
      </c>
      <c r="B50" s="5" t="s">
        <v>405</v>
      </c>
      <c r="C50" s="5" t="s">
        <v>410</v>
      </c>
      <c r="D50" s="5" t="s">
        <v>96</v>
      </c>
      <c r="E50" s="6" t="n">
        <v>6375</v>
      </c>
      <c r="F50" s="5" t="s">
        <v>97</v>
      </c>
      <c r="G50" s="5" t="n">
        <v>2024</v>
      </c>
      <c r="H50" s="5" t="s">
        <v>111</v>
      </c>
      <c r="I50" s="7" t="n">
        <v>45310</v>
      </c>
      <c r="J50" s="7" t="n">
        <v>45657</v>
      </c>
      <c r="K50" s="5" t="str">
        <f aca="true">IF(J50="","",IF(J50&gt;=TODAY(),"Vigente","Encerrado"))</f>
        <v>Encerrado</v>
      </c>
      <c r="L50" s="8" t="n">
        <f aca="false">IF(OR(I50="",J50=""),"",ROUND((J50-I50)/30.44,1))</f>
        <v>11.4</v>
      </c>
      <c r="M50" s="9" t="n">
        <v>18000</v>
      </c>
      <c r="N50" s="9" t="n">
        <f aca="false">IF(OR(L50="",L50=0,M50=""),"",M50/L50)</f>
        <v>1578.94736842105</v>
      </c>
      <c r="O50" s="10" t="n">
        <f aca="false">IF(OR(E50=0,N50=""),"",N50*12/E50)</f>
        <v>2.97213622291022</v>
      </c>
      <c r="P50" s="5" t="s">
        <v>167</v>
      </c>
      <c r="Q50" s="5" t="s">
        <v>100</v>
      </c>
      <c r="R50" s="5" t="s">
        <v>557</v>
      </c>
      <c r="S50" s="5" t="s">
        <v>558</v>
      </c>
    </row>
    <row r="51" customFormat="false" ht="15" hidden="false" customHeight="false" outlineLevel="0" collapsed="false">
      <c r="A51" s="11" t="s">
        <v>444</v>
      </c>
      <c r="B51" s="11" t="s">
        <v>405</v>
      </c>
      <c r="C51" s="11" t="s">
        <v>95</v>
      </c>
      <c r="D51" s="11" t="s">
        <v>96</v>
      </c>
      <c r="E51" s="12" t="n">
        <v>18443</v>
      </c>
      <c r="F51" s="11" t="s">
        <v>97</v>
      </c>
      <c r="G51" s="11" t="n">
        <v>2026</v>
      </c>
      <c r="H51" s="11" t="s">
        <v>111</v>
      </c>
      <c r="I51" s="13" t="n">
        <v>46030</v>
      </c>
      <c r="J51" s="13" t="n">
        <v>46387</v>
      </c>
      <c r="K51" s="11" t="str">
        <f aca="true">IF(J51="","",IF(J51&gt;=TODAY(),"Vigente","Encerrado"))</f>
        <v>Vigente</v>
      </c>
      <c r="L51" s="14" t="n">
        <f aca="false">IF(OR(I51="",J51=""),"",ROUND((J51-I51)/30.44,1))</f>
        <v>11.7</v>
      </c>
      <c r="M51" s="15" t="n">
        <v>21750</v>
      </c>
      <c r="N51" s="15" t="n">
        <f aca="false">IF(OR(L51="",L51=0,M51=""),"",M51/L51)</f>
        <v>1858.97435897436</v>
      </c>
      <c r="O51" s="16" t="n">
        <f aca="false">IF(OR(E51=0,N51=""),"",N51*12/E51)</f>
        <v>1.20954792103738</v>
      </c>
      <c r="P51" s="11" t="s">
        <v>167</v>
      </c>
      <c r="Q51" s="11" t="s">
        <v>100</v>
      </c>
      <c r="R51" s="11" t="s">
        <v>559</v>
      </c>
      <c r="S51" s="11" t="s">
        <v>560</v>
      </c>
    </row>
    <row r="52" customFormat="false" ht="15" hidden="false" customHeight="false" outlineLevel="0" collapsed="false">
      <c r="A52" s="5" t="s">
        <v>444</v>
      </c>
      <c r="B52" s="5" t="s">
        <v>405</v>
      </c>
      <c r="C52" s="5" t="s">
        <v>95</v>
      </c>
      <c r="D52" s="5" t="s">
        <v>96</v>
      </c>
      <c r="E52" s="6" t="n">
        <v>18443</v>
      </c>
      <c r="F52" s="5" t="s">
        <v>97</v>
      </c>
      <c r="G52" s="5" t="n">
        <v>2025</v>
      </c>
      <c r="H52" s="5" t="s">
        <v>111</v>
      </c>
      <c r="I52" s="7" t="n">
        <v>45660</v>
      </c>
      <c r="J52" s="7" t="n">
        <v>46022</v>
      </c>
      <c r="K52" s="5" t="str">
        <f aca="true">IF(J52="","",IF(J52&gt;=TODAY(),"Vigente","Encerrado"))</f>
        <v>Encerrado</v>
      </c>
      <c r="L52" s="8" t="n">
        <f aca="false">IF(OR(I52="",J52=""),"",ROUND((J52-I52)/30.44,1))</f>
        <v>11.9</v>
      </c>
      <c r="M52" s="9" t="n">
        <v>17400</v>
      </c>
      <c r="N52" s="9" t="n">
        <f aca="false">IF(OR(L52="",L52=0,M52=""),"",M52/L52)</f>
        <v>1462.18487394958</v>
      </c>
      <c r="O52" s="10" t="n">
        <f aca="false">IF(OR(E52=0,N52=""),"",N52*12/E52)</f>
        <v>0.951375507639481</v>
      </c>
      <c r="P52" s="5" t="s">
        <v>167</v>
      </c>
      <c r="Q52" s="5" t="s">
        <v>100</v>
      </c>
      <c r="R52" s="5" t="s">
        <v>561</v>
      </c>
      <c r="S52" s="5" t="s">
        <v>562</v>
      </c>
    </row>
    <row r="53" customFormat="false" ht="15" hidden="false" customHeight="false" outlineLevel="0" collapsed="false">
      <c r="A53" s="11" t="s">
        <v>447</v>
      </c>
      <c r="B53" s="11" t="s">
        <v>405</v>
      </c>
      <c r="C53" s="11" t="s">
        <v>175</v>
      </c>
      <c r="D53" s="11" t="s">
        <v>96</v>
      </c>
      <c r="E53" s="12" t="n">
        <v>18604</v>
      </c>
      <c r="F53" s="11" t="s">
        <v>97</v>
      </c>
      <c r="G53" s="11" t="n">
        <v>2025</v>
      </c>
      <c r="H53" s="11" t="s">
        <v>111</v>
      </c>
      <c r="I53" s="13" t="n">
        <v>45670</v>
      </c>
      <c r="J53" s="13" t="n">
        <v>46022</v>
      </c>
      <c r="K53" s="11" t="str">
        <f aca="true">IF(J53="","",IF(J53&gt;=TODAY(),"Vigente","Encerrado"))</f>
        <v>Encerrado</v>
      </c>
      <c r="L53" s="14" t="n">
        <f aca="false">IF(OR(I53="",J53=""),"",ROUND((J53-I53)/30.44,1))</f>
        <v>11.6</v>
      </c>
      <c r="M53" s="15" t="n">
        <v>24000</v>
      </c>
      <c r="N53" s="15" t="n">
        <f aca="false">IF(OR(L53="",L53=0,M53=""),"",M53/L53)</f>
        <v>2068.96551724138</v>
      </c>
      <c r="O53" s="16" t="n">
        <f aca="false">IF(OR(E53=0,N53=""),"",N53*12/E53)</f>
        <v>1.33452946715204</v>
      </c>
      <c r="P53" s="11" t="s">
        <v>167</v>
      </c>
      <c r="Q53" s="11" t="s">
        <v>100</v>
      </c>
      <c r="R53" s="11" t="s">
        <v>563</v>
      </c>
      <c r="S53" s="11" t="s">
        <v>564</v>
      </c>
    </row>
    <row r="54" customFormat="false" ht="15" hidden="false" customHeight="false" outlineLevel="0" collapsed="false">
      <c r="A54" s="5" t="s">
        <v>565</v>
      </c>
      <c r="B54" s="5" t="s">
        <v>405</v>
      </c>
      <c r="C54" s="5" t="s">
        <v>186</v>
      </c>
      <c r="D54" s="5" t="s">
        <v>96</v>
      </c>
      <c r="E54" s="6" t="n">
        <v>10828</v>
      </c>
      <c r="F54" s="5" t="s">
        <v>97</v>
      </c>
      <c r="G54" s="5" t="n">
        <v>2025</v>
      </c>
      <c r="H54" s="5" t="s">
        <v>111</v>
      </c>
      <c r="I54" s="7" t="n">
        <v>45664</v>
      </c>
      <c r="J54" s="7" t="n">
        <v>46022</v>
      </c>
      <c r="K54" s="5" t="str">
        <f aca="true">IF(J54="","",IF(J54&gt;=TODAY(),"Vigente","Encerrado"))</f>
        <v>Encerrado</v>
      </c>
      <c r="L54" s="8" t="n">
        <f aca="false">IF(OR(I54="",J54=""),"",ROUND((J54-I54)/30.44,1))</f>
        <v>11.8</v>
      </c>
      <c r="M54" s="9" t="n">
        <v>18000</v>
      </c>
      <c r="N54" s="9" t="n">
        <f aca="false">IF(OR(L54="",L54=0,M54=""),"",M54/L54)</f>
        <v>1525.42372881356</v>
      </c>
      <c r="O54" s="10" t="n">
        <f aca="false">IF(OR(E54=0,N54=""),"",N54*12/E54)</f>
        <v>1.69053239247901</v>
      </c>
      <c r="P54" s="5" t="s">
        <v>167</v>
      </c>
      <c r="Q54" s="5" t="s">
        <v>100</v>
      </c>
      <c r="R54" s="5" t="s">
        <v>566</v>
      </c>
      <c r="S54" s="5" t="s">
        <v>567</v>
      </c>
    </row>
    <row r="55" customFormat="false" ht="15" hidden="false" customHeight="false" outlineLevel="0" collapsed="false">
      <c r="A55" s="11" t="s">
        <v>568</v>
      </c>
      <c r="B55" s="11" t="s">
        <v>405</v>
      </c>
      <c r="C55" s="11" t="s">
        <v>190</v>
      </c>
      <c r="D55" s="11" t="s">
        <v>96</v>
      </c>
      <c r="E55" s="12" t="n">
        <v>3306</v>
      </c>
      <c r="F55" s="11" t="s">
        <v>97</v>
      </c>
      <c r="G55" s="11" t="n">
        <v>2024</v>
      </c>
      <c r="H55" s="11" t="s">
        <v>111</v>
      </c>
      <c r="I55" s="13" t="n">
        <v>45345</v>
      </c>
      <c r="J55" s="13" t="n">
        <v>45657</v>
      </c>
      <c r="K55" s="11" t="str">
        <f aca="true">IF(J55="","",IF(J55&gt;=TODAY(),"Vigente","Encerrado"))</f>
        <v>Encerrado</v>
      </c>
      <c r="L55" s="14" t="n">
        <f aca="false">IF(OR(I55="",J55=""),"",ROUND((J55-I55)/30.44,1))</f>
        <v>10.2</v>
      </c>
      <c r="M55" s="15" t="n">
        <v>18000</v>
      </c>
      <c r="N55" s="15" t="n">
        <f aca="false">IF(OR(L55="",L55=0,M55=""),"",M55/L55)</f>
        <v>1764.70588235294</v>
      </c>
      <c r="O55" s="16" t="n">
        <f aca="false">IF(OR(E55=0,N55=""),"",N55*12/E55)</f>
        <v>6.40546599765133</v>
      </c>
      <c r="P55" s="11" t="s">
        <v>167</v>
      </c>
      <c r="Q55" s="11" t="s">
        <v>100</v>
      </c>
      <c r="R55" s="11" t="s">
        <v>569</v>
      </c>
      <c r="S55" s="11" t="s">
        <v>570</v>
      </c>
    </row>
    <row r="56" customFormat="false" ht="15" hidden="false" customHeight="false" outlineLevel="0" collapsed="false">
      <c r="A56" s="5" t="s">
        <v>571</v>
      </c>
      <c r="B56" s="5" t="s">
        <v>405</v>
      </c>
      <c r="C56" s="5" t="s">
        <v>203</v>
      </c>
      <c r="D56" s="5" t="s">
        <v>96</v>
      </c>
      <c r="E56" s="6" t="n">
        <v>2789</v>
      </c>
      <c r="F56" s="5" t="s">
        <v>97</v>
      </c>
      <c r="G56" s="5" t="n">
        <v>2026</v>
      </c>
      <c r="H56" s="5" t="s">
        <v>111</v>
      </c>
      <c r="I56" s="7" t="n">
        <v>46029</v>
      </c>
      <c r="J56" s="7" t="n">
        <v>46387</v>
      </c>
      <c r="K56" s="5" t="str">
        <f aca="true">IF(J56="","",IF(J56&gt;=TODAY(),"Vigente","Encerrado"))</f>
        <v>Vigente</v>
      </c>
      <c r="L56" s="8" t="n">
        <f aca="false">IF(OR(I56="",J56=""),"",ROUND((J56-I56)/30.44,1))</f>
        <v>11.8</v>
      </c>
      <c r="M56" s="9" t="n">
        <v>21750</v>
      </c>
      <c r="N56" s="9" t="n">
        <f aca="false">IF(OR(L56="",L56=0,M56=""),"",M56/L56)</f>
        <v>1843.22033898305</v>
      </c>
      <c r="O56" s="10" t="n">
        <f aca="false">IF(OR(E56=0,N56=""),"",N56*12/E56)</f>
        <v>7.93067194972987</v>
      </c>
      <c r="P56" s="5" t="s">
        <v>167</v>
      </c>
      <c r="Q56" s="5" t="s">
        <v>100</v>
      </c>
      <c r="R56" s="5" t="s">
        <v>572</v>
      </c>
      <c r="S56" s="5" t="s">
        <v>573</v>
      </c>
    </row>
    <row r="57" customFormat="false" ht="15" hidden="false" customHeight="false" outlineLevel="0" collapsed="false">
      <c r="A57" s="11" t="s">
        <v>571</v>
      </c>
      <c r="B57" s="11" t="s">
        <v>405</v>
      </c>
      <c r="C57" s="11" t="s">
        <v>203</v>
      </c>
      <c r="D57" s="11" t="s">
        <v>96</v>
      </c>
      <c r="E57" s="12" t="n">
        <v>2789</v>
      </c>
      <c r="F57" s="11" t="s">
        <v>97</v>
      </c>
      <c r="G57" s="11" t="n">
        <v>2025</v>
      </c>
      <c r="H57" s="11" t="s">
        <v>111</v>
      </c>
      <c r="I57" s="13" t="n">
        <v>45667</v>
      </c>
      <c r="J57" s="13" t="n">
        <v>46022</v>
      </c>
      <c r="K57" s="11" t="str">
        <f aca="true">IF(J57="","",IF(J57&gt;=TODAY(),"Vigente","Encerrado"))</f>
        <v>Encerrado</v>
      </c>
      <c r="L57" s="14" t="n">
        <f aca="false">IF(OR(I57="",J57=""),"",ROUND((J57-I57)/30.44,1))</f>
        <v>11.7</v>
      </c>
      <c r="M57" s="15" t="n">
        <v>17400</v>
      </c>
      <c r="N57" s="15" t="n">
        <f aca="false">IF(OR(L57="",L57=0,M57=""),"",M57/L57)</f>
        <v>1487.17948717949</v>
      </c>
      <c r="O57" s="16" t="n">
        <f aca="false">IF(OR(E57=0,N57=""),"",N57*12/E57)</f>
        <v>6.39876437653419</v>
      </c>
      <c r="P57" s="11" t="s">
        <v>167</v>
      </c>
      <c r="Q57" s="11" t="s">
        <v>100</v>
      </c>
      <c r="R57" s="11" t="s">
        <v>574</v>
      </c>
      <c r="S57" s="11" t="s">
        <v>575</v>
      </c>
    </row>
    <row r="58" customFormat="false" ht="15" hidden="false" customHeight="false" outlineLevel="0" collapsed="false">
      <c r="A58" s="5" t="s">
        <v>471</v>
      </c>
      <c r="B58" s="5" t="s">
        <v>405</v>
      </c>
      <c r="C58" s="5" t="s">
        <v>472</v>
      </c>
      <c r="D58" s="5" t="s">
        <v>96</v>
      </c>
      <c r="E58" s="6" t="n">
        <v>7678</v>
      </c>
      <c r="F58" s="5" t="s">
        <v>97</v>
      </c>
      <c r="G58" s="5" t="n">
        <v>2025</v>
      </c>
      <c r="H58" s="5" t="s">
        <v>111</v>
      </c>
      <c r="I58" s="7" t="n">
        <v>45663</v>
      </c>
      <c r="J58" s="7" t="n">
        <v>46022</v>
      </c>
      <c r="K58" s="5" t="str">
        <f aca="true">IF(J58="","",IF(J58&gt;=TODAY(),"Vigente","Encerrado"))</f>
        <v>Encerrado</v>
      </c>
      <c r="L58" s="8" t="n">
        <f aca="false">IF(OR(I58="",J58=""),"",ROUND((J58-I58)/30.44,1))</f>
        <v>11.8</v>
      </c>
      <c r="M58" s="9" t="n">
        <v>18000</v>
      </c>
      <c r="N58" s="9" t="n">
        <f aca="false">IF(OR(L58="",L58=0,M58=""),"",M58/L58)</f>
        <v>1525.42372881356</v>
      </c>
      <c r="O58" s="10" t="n">
        <f aca="false">IF(OR(E58=0,N58=""),"",N58*12/E58)</f>
        <v>2.38409543445724</v>
      </c>
      <c r="P58" s="5" t="s">
        <v>167</v>
      </c>
      <c r="Q58" s="5" t="s">
        <v>100</v>
      </c>
      <c r="R58" s="5" t="s">
        <v>576</v>
      </c>
      <c r="S58" s="5" t="s">
        <v>577</v>
      </c>
    </row>
    <row r="59" customFormat="false" ht="15" hidden="false" customHeight="false" outlineLevel="0" collapsed="false">
      <c r="A59" s="11" t="s">
        <v>578</v>
      </c>
      <c r="B59" s="11" t="s">
        <v>405</v>
      </c>
      <c r="C59" s="11" t="s">
        <v>579</v>
      </c>
      <c r="D59" s="11" t="s">
        <v>96</v>
      </c>
      <c r="E59" s="12" t="n">
        <v>4735</v>
      </c>
      <c r="F59" s="11" t="s">
        <v>97</v>
      </c>
      <c r="G59" s="11" t="n">
        <v>2025</v>
      </c>
      <c r="H59" s="11" t="s">
        <v>111</v>
      </c>
      <c r="I59" s="13" t="n">
        <v>45667</v>
      </c>
      <c r="J59" s="13" t="n">
        <v>46022</v>
      </c>
      <c r="K59" s="11" t="str">
        <f aca="true">IF(J59="","",IF(J59&gt;=TODAY(),"Vigente","Encerrado"))</f>
        <v>Encerrado</v>
      </c>
      <c r="L59" s="14" t="n">
        <f aca="false">IF(OR(I59="",J59=""),"",ROUND((J59-I59)/30.44,1))</f>
        <v>11.7</v>
      </c>
      <c r="M59" s="15" t="n">
        <v>15600</v>
      </c>
      <c r="N59" s="15" t="n">
        <f aca="false">IF(OR(L59="",L59=0,M59=""),"",M59/L59)</f>
        <v>1333.33333333333</v>
      </c>
      <c r="O59" s="16" t="n">
        <f aca="false">IF(OR(E59=0,N59=""),"",N59*12/E59)</f>
        <v>3.37909186906019</v>
      </c>
      <c r="P59" s="11" t="s">
        <v>167</v>
      </c>
      <c r="Q59" s="11" t="s">
        <v>100</v>
      </c>
      <c r="R59" s="17" t="s">
        <v>580</v>
      </c>
      <c r="S59" s="11" t="s">
        <v>581</v>
      </c>
    </row>
    <row r="60" customFormat="false" ht="15" hidden="false" customHeight="false" outlineLevel="0" collapsed="false">
      <c r="A60" s="5" t="s">
        <v>582</v>
      </c>
      <c r="B60" s="5" t="s">
        <v>405</v>
      </c>
      <c r="C60" s="5" t="s">
        <v>583</v>
      </c>
      <c r="D60" s="5" t="s">
        <v>96</v>
      </c>
      <c r="E60" s="6" t="n">
        <v>7711</v>
      </c>
      <c r="F60" s="5" t="s">
        <v>97</v>
      </c>
      <c r="G60" s="5" t="n">
        <v>2025</v>
      </c>
      <c r="H60" s="5" t="s">
        <v>111</v>
      </c>
      <c r="I60" s="7" t="n">
        <v>45670</v>
      </c>
      <c r="J60" s="7" t="n">
        <v>46022</v>
      </c>
      <c r="K60" s="5" t="str">
        <f aca="true">IF(J60="","",IF(J60&gt;=TODAY(),"Vigente","Encerrado"))</f>
        <v>Encerrado</v>
      </c>
      <c r="L60" s="8" t="n">
        <f aca="false">IF(OR(I60="",J60=""),"",ROUND((J60-I60)/30.44,1))</f>
        <v>11.6</v>
      </c>
      <c r="M60" s="9" t="n">
        <v>19800</v>
      </c>
      <c r="N60" s="9" t="n">
        <f aca="false">IF(OR(L60="",L60=0,M60=""),"",M60/L60)</f>
        <v>1706.89655172414</v>
      </c>
      <c r="O60" s="10" t="n">
        <f aca="false">IF(OR(E60=0,N60=""),"",N60*12/E60)</f>
        <v>2.6563038024497</v>
      </c>
      <c r="P60" s="5" t="s">
        <v>167</v>
      </c>
      <c r="Q60" s="5" t="s">
        <v>100</v>
      </c>
      <c r="R60" s="5" t="s">
        <v>584</v>
      </c>
      <c r="S60" s="5" t="s">
        <v>585</v>
      </c>
    </row>
    <row r="61" customFormat="false" ht="15" hidden="false" customHeight="false" outlineLevel="0" collapsed="false">
      <c r="A61" s="11" t="s">
        <v>586</v>
      </c>
      <c r="B61" s="11" t="s">
        <v>405</v>
      </c>
      <c r="C61" s="11" t="s">
        <v>587</v>
      </c>
      <c r="D61" s="11" t="s">
        <v>96</v>
      </c>
      <c r="E61" s="12" t="n">
        <v>18258</v>
      </c>
      <c r="F61" s="11" t="s">
        <v>97</v>
      </c>
      <c r="G61" s="11" t="n">
        <v>2025</v>
      </c>
      <c r="H61" s="11" t="s">
        <v>111</v>
      </c>
      <c r="I61" s="13" t="n">
        <v>45681</v>
      </c>
      <c r="J61" s="13" t="n">
        <v>46022</v>
      </c>
      <c r="K61" s="11" t="str">
        <f aca="true">IF(J61="","",IF(J61&gt;=TODAY(),"Vigente","Encerrado"))</f>
        <v>Encerrado</v>
      </c>
      <c r="L61" s="14" t="n">
        <f aca="false">IF(OR(I61="",J61=""),"",ROUND((J61-I61)/30.44,1))</f>
        <v>11.2</v>
      </c>
      <c r="M61" s="15" t="n">
        <v>16800</v>
      </c>
      <c r="N61" s="15" t="n">
        <f aca="false">IF(OR(L61="",L61=0,M61=""),"",M61/L61)</f>
        <v>1500</v>
      </c>
      <c r="O61" s="16" t="n">
        <f aca="false">IF(OR(E61=0,N61=""),"",N61*12/E61)</f>
        <v>0.985869208018403</v>
      </c>
      <c r="P61" s="11" t="s">
        <v>167</v>
      </c>
      <c r="Q61" s="11" t="s">
        <v>100</v>
      </c>
      <c r="R61" s="11" t="s">
        <v>588</v>
      </c>
      <c r="S61" s="11" t="s">
        <v>589</v>
      </c>
    </row>
    <row r="62" customFormat="false" ht="15" hidden="false" customHeight="false" outlineLevel="0" collapsed="false">
      <c r="A62" s="5" t="s">
        <v>590</v>
      </c>
      <c r="B62" s="5" t="s">
        <v>405</v>
      </c>
      <c r="C62" s="5" t="s">
        <v>591</v>
      </c>
      <c r="D62" s="5" t="s">
        <v>96</v>
      </c>
      <c r="E62" s="6" t="n">
        <v>120789</v>
      </c>
      <c r="F62" s="5" t="s">
        <v>592</v>
      </c>
      <c r="G62" s="5" t="n">
        <v>2023</v>
      </c>
      <c r="H62" s="5" t="s">
        <v>111</v>
      </c>
      <c r="I62" s="7" t="n">
        <v>45113</v>
      </c>
      <c r="J62" s="7" t="n">
        <v>45478</v>
      </c>
      <c r="K62" s="5" t="str">
        <f aca="true">IF(J62="","",IF(J62&gt;=TODAY(),"Vigente","Encerrado"))</f>
        <v>Encerrado</v>
      </c>
      <c r="L62" s="8" t="n">
        <f aca="false">IF(OR(I62="",J62=""),"",ROUND((J62-I62)/30.44,1))</f>
        <v>12</v>
      </c>
      <c r="M62" s="9" t="n">
        <v>18456</v>
      </c>
      <c r="N62" s="9" t="n">
        <f aca="false">IF(OR(L62="",L62=0,M62=""),"",M62/L62)</f>
        <v>1538</v>
      </c>
      <c r="O62" s="10" t="n">
        <f aca="false">IF(OR(E62=0,N62=""),"",N62*12/E62)</f>
        <v>0.152795370439361</v>
      </c>
      <c r="P62" s="5" t="s">
        <v>167</v>
      </c>
      <c r="Q62" s="5" t="s">
        <v>100</v>
      </c>
      <c r="R62" s="5" t="s">
        <v>593</v>
      </c>
      <c r="S62" s="5" t="s">
        <v>594</v>
      </c>
    </row>
    <row r="63" customFormat="false" ht="15" hidden="false" customHeight="false" outlineLevel="0" collapsed="false">
      <c r="A63" s="11" t="s">
        <v>595</v>
      </c>
      <c r="B63" s="11" t="s">
        <v>405</v>
      </c>
      <c r="C63" s="11" t="s">
        <v>220</v>
      </c>
      <c r="D63" s="11" t="s">
        <v>137</v>
      </c>
      <c r="E63" s="12" t="n">
        <v>35957</v>
      </c>
      <c r="F63" s="11" t="s">
        <v>105</v>
      </c>
      <c r="G63" s="11" t="n">
        <v>2026</v>
      </c>
      <c r="H63" s="11" t="s">
        <v>111</v>
      </c>
      <c r="I63" s="13" t="n">
        <v>46045</v>
      </c>
      <c r="J63" s="13" t="n">
        <v>46387</v>
      </c>
      <c r="K63" s="11" t="str">
        <f aca="true">IF(J63="","",IF(J63&gt;=TODAY(),"Vigente","Encerrado"))</f>
        <v>Vigente</v>
      </c>
      <c r="L63" s="14" t="n">
        <f aca="false">IF(OR(I63="",J63=""),"",ROUND((J63-I63)/30.44,1))</f>
        <v>11.2</v>
      </c>
      <c r="M63" s="15" t="n">
        <v>37500</v>
      </c>
      <c r="N63" s="15" t="n">
        <f aca="false">IF(OR(L63="",L63=0,M63=""),"",M63/L63)</f>
        <v>3348.21428571429</v>
      </c>
      <c r="O63" s="16" t="n">
        <f aca="false">IF(OR(E63=0,N63=""),"",N63*12/E63)</f>
        <v>1.11740610808942</v>
      </c>
      <c r="P63" s="11" t="s">
        <v>195</v>
      </c>
      <c r="Q63" s="11" t="s">
        <v>100</v>
      </c>
      <c r="R63" s="11" t="s">
        <v>596</v>
      </c>
      <c r="S63" s="11" t="s">
        <v>597</v>
      </c>
    </row>
    <row r="64" customFormat="false" ht="15" hidden="false" customHeight="false" outlineLevel="0" collapsed="false">
      <c r="A64" s="5" t="s">
        <v>595</v>
      </c>
      <c r="B64" s="5" t="s">
        <v>405</v>
      </c>
      <c r="C64" s="5" t="s">
        <v>220</v>
      </c>
      <c r="D64" s="5" t="s">
        <v>137</v>
      </c>
      <c r="E64" s="6" t="n">
        <v>35957</v>
      </c>
      <c r="F64" s="5" t="s">
        <v>105</v>
      </c>
      <c r="G64" s="5" t="n">
        <v>2025</v>
      </c>
      <c r="H64" s="5" t="s">
        <v>111</v>
      </c>
      <c r="I64" s="7" t="n">
        <v>45663</v>
      </c>
      <c r="J64" s="7" t="n">
        <v>46022</v>
      </c>
      <c r="K64" s="5" t="str">
        <f aca="true">IF(J64="","",IF(J64&gt;=TODAY(),"Vigente","Encerrado"))</f>
        <v>Encerrado</v>
      </c>
      <c r="L64" s="8" t="n">
        <f aca="false">IF(OR(I64="",J64=""),"",ROUND((J64-I64)/30.44,1))</f>
        <v>11.8</v>
      </c>
      <c r="M64" s="9" t="n">
        <v>30000</v>
      </c>
      <c r="N64" s="9" t="n">
        <f aca="false">IF(OR(L64="",L64=0,M64=""),"",M64/L64)</f>
        <v>2542.37288135593</v>
      </c>
      <c r="O64" s="10" t="n">
        <f aca="false">IF(OR(E64=0,N64=""),"",N64*12/E64)</f>
        <v>0.848471078684851</v>
      </c>
      <c r="P64" s="5" t="s">
        <v>195</v>
      </c>
      <c r="Q64" s="5" t="s">
        <v>100</v>
      </c>
      <c r="R64" s="5" t="s">
        <v>596</v>
      </c>
      <c r="S64" s="5" t="s">
        <v>598</v>
      </c>
    </row>
    <row r="65" customFormat="false" ht="15" hidden="false" customHeight="false" outlineLevel="0" collapsed="false">
      <c r="A65" s="11" t="s">
        <v>599</v>
      </c>
      <c r="B65" s="11" t="s">
        <v>405</v>
      </c>
      <c r="C65" s="11" t="s">
        <v>600</v>
      </c>
      <c r="D65" s="11" t="s">
        <v>96</v>
      </c>
      <c r="E65" s="12" t="n">
        <v>65705</v>
      </c>
      <c r="F65" s="11" t="s">
        <v>105</v>
      </c>
      <c r="G65" s="11" t="n">
        <v>2024</v>
      </c>
      <c r="H65" s="11" t="s">
        <v>111</v>
      </c>
      <c r="I65" s="13" t="n">
        <v>45369</v>
      </c>
      <c r="J65" s="13" t="n">
        <v>45596</v>
      </c>
      <c r="K65" s="11" t="str">
        <f aca="true">IF(J65="","",IF(J65&gt;=TODAY(),"Vigente","Encerrado"))</f>
        <v>Encerrado</v>
      </c>
      <c r="L65" s="14" t="n">
        <f aca="false">IF(OR(I65="",J65=""),"",ROUND((J65-I65)/30.44,1))</f>
        <v>7.5</v>
      </c>
      <c r="M65" s="15" t="n">
        <v>44800</v>
      </c>
      <c r="N65" s="15" t="n">
        <f aca="false">IF(OR(L65="",L65=0,M65=""),"",M65/L65)</f>
        <v>5973.33333333333</v>
      </c>
      <c r="O65" s="16" t="n">
        <f aca="false">IF(OR(E65=0,N65=""),"",N65*12/E65)</f>
        <v>1.09093676280344</v>
      </c>
      <c r="P65" s="11" t="s">
        <v>167</v>
      </c>
      <c r="Q65" s="11" t="s">
        <v>100</v>
      </c>
      <c r="R65" s="11" t="s">
        <v>601</v>
      </c>
      <c r="S65" s="11" t="s">
        <v>602</v>
      </c>
    </row>
    <row r="66" customFormat="false" ht="15" hidden="false" customHeight="false" outlineLevel="0" collapsed="false">
      <c r="A66" s="5" t="s">
        <v>603</v>
      </c>
      <c r="B66" s="5" t="s">
        <v>405</v>
      </c>
      <c r="C66" s="5" t="s">
        <v>258</v>
      </c>
      <c r="D66" s="5" t="s">
        <v>96</v>
      </c>
      <c r="E66" s="6" t="n">
        <v>3224</v>
      </c>
      <c r="F66" s="5" t="s">
        <v>97</v>
      </c>
      <c r="G66" s="5" t="n">
        <v>2024</v>
      </c>
      <c r="H66" s="5" t="s">
        <v>111</v>
      </c>
      <c r="I66" s="7" t="n">
        <v>45343</v>
      </c>
      <c r="J66" s="7" t="n">
        <v>45657</v>
      </c>
      <c r="K66" s="5" t="str">
        <f aca="true">IF(J66="","",IF(J66&gt;=TODAY(),"Vigente","Encerrado"))</f>
        <v>Encerrado</v>
      </c>
      <c r="L66" s="8" t="n">
        <f aca="false">IF(OR(I66="",J66=""),"",ROUND((J66-I66)/30.44,1))</f>
        <v>10.3</v>
      </c>
      <c r="M66" s="9" t="n">
        <v>12000</v>
      </c>
      <c r="N66" s="9" t="n">
        <f aca="false">IF(OR(L66="",L66=0,M66=""),"",M66/L66)</f>
        <v>1165.04854368932</v>
      </c>
      <c r="O66" s="10" t="n">
        <f aca="false">IF(OR(E66=0,N66=""),"",N66*12/E66)</f>
        <v>4.33640897154834</v>
      </c>
      <c r="P66" s="5" t="s">
        <v>167</v>
      </c>
      <c r="Q66" s="5" t="s">
        <v>100</v>
      </c>
      <c r="R66" s="5" t="s">
        <v>604</v>
      </c>
      <c r="S66" s="5" t="s">
        <v>605</v>
      </c>
    </row>
    <row r="67" customFormat="false" ht="15" hidden="false" customHeight="false" outlineLevel="0" collapsed="false">
      <c r="A67" s="11" t="s">
        <v>606</v>
      </c>
      <c r="B67" s="11" t="s">
        <v>405</v>
      </c>
      <c r="C67" s="11" t="s">
        <v>110</v>
      </c>
      <c r="D67" s="11" t="s">
        <v>96</v>
      </c>
      <c r="E67" s="12" t="n">
        <v>14156</v>
      </c>
      <c r="F67" s="11" t="s">
        <v>97</v>
      </c>
      <c r="G67" s="11" t="n">
        <v>2025</v>
      </c>
      <c r="H67" s="11" t="s">
        <v>111</v>
      </c>
      <c r="I67" s="13" t="n">
        <v>45873</v>
      </c>
      <c r="J67" s="13" t="n">
        <v>46022</v>
      </c>
      <c r="K67" s="11" t="str">
        <f aca="true">IF(J67="","",IF(J67&gt;=TODAY(),"Vigente","Encerrado"))</f>
        <v>Encerrado</v>
      </c>
      <c r="L67" s="14" t="n">
        <f aca="false">IF(OR(I67="",J67=""),"",ROUND((J67-I67)/30.44,1))</f>
        <v>4.9</v>
      </c>
      <c r="M67" s="15" t="n">
        <v>8400</v>
      </c>
      <c r="N67" s="15" t="n">
        <f aca="false">IF(OR(L67="",L67=0,M67=""),"",M67/L67)</f>
        <v>1714.28571428571</v>
      </c>
      <c r="O67" s="16" t="n">
        <f aca="false">IF(OR(E67=0,N67=""),"",N67*12/E67)</f>
        <v>1.45319501069713</v>
      </c>
      <c r="P67" s="11" t="s">
        <v>167</v>
      </c>
      <c r="Q67" s="11" t="s">
        <v>100</v>
      </c>
      <c r="R67" s="11" t="s">
        <v>607</v>
      </c>
      <c r="S67" s="11" t="s">
        <v>608</v>
      </c>
    </row>
    <row r="68" customFormat="false" ht="15" hidden="false" customHeight="false" outlineLevel="0" collapsed="false">
      <c r="A68" s="5" t="s">
        <v>609</v>
      </c>
      <c r="B68" s="5" t="s">
        <v>405</v>
      </c>
      <c r="C68" s="5" t="s">
        <v>610</v>
      </c>
      <c r="D68" s="5" t="s">
        <v>96</v>
      </c>
      <c r="E68" s="6" t="n">
        <v>3542</v>
      </c>
      <c r="F68" s="5" t="s">
        <v>97</v>
      </c>
      <c r="G68" s="5" t="n">
        <v>2024</v>
      </c>
      <c r="H68" s="5" t="s">
        <v>111</v>
      </c>
      <c r="I68" s="7" t="n">
        <v>45320</v>
      </c>
      <c r="J68" s="7" t="n">
        <v>45657</v>
      </c>
      <c r="K68" s="5" t="str">
        <f aca="true">IF(J68="","",IF(J68&gt;=TODAY(),"Vigente","Encerrado"))</f>
        <v>Encerrado</v>
      </c>
      <c r="L68" s="8" t="n">
        <f aca="false">IF(OR(I68="",J68=""),"",ROUND((J68-I68)/30.44,1))</f>
        <v>11.1</v>
      </c>
      <c r="M68" s="9" t="n">
        <v>15600</v>
      </c>
      <c r="N68" s="9" t="n">
        <f aca="false">IF(OR(L68="",L68=0,M68=""),"",M68/L68)</f>
        <v>1405.40540540541</v>
      </c>
      <c r="O68" s="10" t="n">
        <f aca="false">IF(OR(E68=0,N68=""),"",N68*12/E68)</f>
        <v>4.76139606574389</v>
      </c>
      <c r="P68" s="5" t="s">
        <v>167</v>
      </c>
      <c r="Q68" s="5" t="s">
        <v>100</v>
      </c>
      <c r="R68" s="5" t="s">
        <v>611</v>
      </c>
      <c r="S68" s="5" t="s">
        <v>612</v>
      </c>
    </row>
    <row r="69" customFormat="false" ht="15" hidden="false" customHeight="false" outlineLevel="0" collapsed="false">
      <c r="A69" s="11" t="s">
        <v>613</v>
      </c>
      <c r="B69" s="11" t="s">
        <v>405</v>
      </c>
      <c r="C69" s="11" t="s">
        <v>614</v>
      </c>
      <c r="D69" s="11" t="s">
        <v>137</v>
      </c>
      <c r="E69" s="12" t="n">
        <v>25681</v>
      </c>
      <c r="F69" s="11" t="s">
        <v>105</v>
      </c>
      <c r="G69" s="11" t="n">
        <v>2024</v>
      </c>
      <c r="H69" s="11" t="s">
        <v>111</v>
      </c>
      <c r="I69" s="13" t="n">
        <v>45313</v>
      </c>
      <c r="J69" s="13" t="n">
        <v>45657</v>
      </c>
      <c r="K69" s="11" t="str">
        <f aca="true">IF(J69="","",IF(J69&gt;=TODAY(),"Vigente","Encerrado"))</f>
        <v>Encerrado</v>
      </c>
      <c r="L69" s="14" t="n">
        <f aca="false">IF(OR(I69="",J69=""),"",ROUND((J69-I69)/30.44,1))</f>
        <v>11.3</v>
      </c>
      <c r="M69" s="15" t="n">
        <v>20400</v>
      </c>
      <c r="N69" s="15" t="n">
        <f aca="false">IF(OR(L69="",L69=0,M69=""),"",M69/L69)</f>
        <v>1805.30973451327</v>
      </c>
      <c r="O69" s="16" t="n">
        <f aca="false">IF(OR(E69=0,N69=""),"",N69*12/E69)</f>
        <v>0.84356983038664</v>
      </c>
      <c r="P69" s="11" t="s">
        <v>195</v>
      </c>
      <c r="Q69" s="11" t="s">
        <v>100</v>
      </c>
      <c r="R69" s="11" t="s">
        <v>615</v>
      </c>
      <c r="S69" s="11" t="s">
        <v>616</v>
      </c>
    </row>
    <row r="70" customFormat="false" ht="15" hidden="false" customHeight="false" outlineLevel="0" collapsed="false">
      <c r="A70" s="5" t="s">
        <v>617</v>
      </c>
      <c r="B70" s="5" t="s">
        <v>405</v>
      </c>
      <c r="C70" s="5" t="s">
        <v>618</v>
      </c>
      <c r="D70" s="5" t="s">
        <v>96</v>
      </c>
      <c r="E70" s="6" t="n">
        <v>4880</v>
      </c>
      <c r="F70" s="5" t="s">
        <v>97</v>
      </c>
      <c r="G70" s="5" t="n">
        <v>2025</v>
      </c>
      <c r="H70" s="5" t="s">
        <v>111</v>
      </c>
      <c r="I70" s="7" t="n">
        <v>45659</v>
      </c>
      <c r="J70" s="7" t="n">
        <v>46022</v>
      </c>
      <c r="K70" s="5" t="str">
        <f aca="true">IF(J70="","",IF(J70&gt;=TODAY(),"Vigente","Encerrado"))</f>
        <v>Encerrado</v>
      </c>
      <c r="L70" s="8" t="n">
        <f aca="false">IF(OR(I70="",J70=""),"",ROUND((J70-I70)/30.44,1))</f>
        <v>11.9</v>
      </c>
      <c r="M70" s="9" t="n">
        <v>18600</v>
      </c>
      <c r="N70" s="9" t="n">
        <f aca="false">IF(OR(L70="",L70=0,M70=""),"",M70/L70)</f>
        <v>1563.02521008403</v>
      </c>
      <c r="O70" s="10" t="n">
        <f aca="false">IF(OR(E70=0,N70=""),"",N70*12/E70)</f>
        <v>3.84350461496074</v>
      </c>
      <c r="P70" s="5" t="s">
        <v>167</v>
      </c>
      <c r="Q70" s="5" t="s">
        <v>100</v>
      </c>
      <c r="R70" s="5" t="s">
        <v>619</v>
      </c>
      <c r="S70" s="5" t="s">
        <v>620</v>
      </c>
    </row>
    <row r="71" customFormat="false" ht="15" hidden="false" customHeight="false" outlineLevel="0" collapsed="false">
      <c r="A71" s="11" t="s">
        <v>621</v>
      </c>
      <c r="B71" s="11" t="s">
        <v>405</v>
      </c>
      <c r="C71" s="11" t="s">
        <v>622</v>
      </c>
      <c r="D71" s="11" t="s">
        <v>96</v>
      </c>
      <c r="E71" s="12" t="n">
        <v>21708</v>
      </c>
      <c r="F71" s="11" t="s">
        <v>105</v>
      </c>
      <c r="G71" s="11" t="n">
        <v>2024</v>
      </c>
      <c r="H71" s="11" t="s">
        <v>111</v>
      </c>
      <c r="I71" s="13" t="n">
        <v>45313</v>
      </c>
      <c r="J71" s="13" t="n">
        <v>45657</v>
      </c>
      <c r="K71" s="11" t="str">
        <f aca="true">IF(J71="","",IF(J71&gt;=TODAY(),"Vigente","Encerrado"))</f>
        <v>Encerrado</v>
      </c>
      <c r="L71" s="14" t="n">
        <f aca="false">IF(OR(I71="",J71=""),"",ROUND((J71-I71)/30.44,1))</f>
        <v>11.3</v>
      </c>
      <c r="M71" s="15" t="n">
        <v>15600</v>
      </c>
      <c r="N71" s="15" t="n">
        <f aca="false">IF(OR(L71="",L71=0,M71=""),"",M71/L71)</f>
        <v>1380.53097345133</v>
      </c>
      <c r="O71" s="16" t="n">
        <f aca="false">IF(OR(E71=0,N71=""),"",N71*12/E71)</f>
        <v>0.763145922305875</v>
      </c>
      <c r="P71" s="11" t="s">
        <v>167</v>
      </c>
      <c r="Q71" s="11" t="s">
        <v>100</v>
      </c>
      <c r="R71" s="11" t="s">
        <v>623</v>
      </c>
      <c r="S71" s="11" t="s">
        <v>624</v>
      </c>
    </row>
    <row r="72" customFormat="false" ht="15" hidden="false" customHeight="false" outlineLevel="0" collapsed="false">
      <c r="A72" s="5" t="s">
        <v>421</v>
      </c>
      <c r="B72" s="5" t="s">
        <v>405</v>
      </c>
      <c r="C72" s="5" t="s">
        <v>269</v>
      </c>
      <c r="D72" s="5" t="s">
        <v>96</v>
      </c>
      <c r="E72" s="6" t="n">
        <v>6360</v>
      </c>
      <c r="F72" s="5" t="s">
        <v>97</v>
      </c>
      <c r="G72" s="5" t="n">
        <v>2024</v>
      </c>
      <c r="H72" s="5" t="s">
        <v>111</v>
      </c>
      <c r="I72" s="7" t="n">
        <v>45299</v>
      </c>
      <c r="J72" s="7" t="n">
        <v>45657</v>
      </c>
      <c r="K72" s="5" t="str">
        <f aca="true">IF(J72="","",IF(J72&gt;=TODAY(),"Vigente","Encerrado"))</f>
        <v>Encerrado</v>
      </c>
      <c r="L72" s="8" t="n">
        <f aca="false">IF(OR(I72="",J72=""),"",ROUND((J72-I72)/30.44,1))</f>
        <v>11.8</v>
      </c>
      <c r="M72" s="9" t="n">
        <v>12000</v>
      </c>
      <c r="N72" s="9" t="n">
        <f aca="false">IF(OR(L72="",L72=0,M72=""),"",M72/L72)</f>
        <v>1016.94915254237</v>
      </c>
      <c r="O72" s="10" t="n">
        <f aca="false">IF(OR(E72=0,N72=""),"",N72*12/E72)</f>
        <v>1.91877198592901</v>
      </c>
      <c r="P72" s="5" t="s">
        <v>167</v>
      </c>
      <c r="Q72" s="5" t="s">
        <v>100</v>
      </c>
      <c r="R72" s="5" t="s">
        <v>625</v>
      </c>
      <c r="S72" s="5" t="s">
        <v>626</v>
      </c>
    </row>
    <row r="73" customFormat="false" ht="15" hidden="false" customHeight="false" outlineLevel="0" collapsed="false">
      <c r="A73" s="11" t="s">
        <v>627</v>
      </c>
      <c r="B73" s="11" t="s">
        <v>405</v>
      </c>
      <c r="C73" s="11" t="s">
        <v>628</v>
      </c>
      <c r="D73" s="11" t="s">
        <v>96</v>
      </c>
      <c r="E73" s="12" t="n">
        <v>46427</v>
      </c>
      <c r="F73" s="11" t="s">
        <v>105</v>
      </c>
      <c r="G73" s="11" t="n">
        <v>2026</v>
      </c>
      <c r="H73" s="11" t="s">
        <v>111</v>
      </c>
      <c r="I73" s="13" t="n">
        <v>46029</v>
      </c>
      <c r="J73" s="13" t="n">
        <v>46393</v>
      </c>
      <c r="K73" s="11" t="str">
        <f aca="true">IF(J73="","",IF(J73&gt;=TODAY(),"Vigente","Encerrado"))</f>
        <v>Vigente</v>
      </c>
      <c r="L73" s="14" t="n">
        <f aca="false">IF(OR(I73="",J73=""),"",ROUND((J73-I73)/30.44,1))</f>
        <v>12</v>
      </c>
      <c r="M73" s="15" t="n">
        <v>21990</v>
      </c>
      <c r="N73" s="15" t="n">
        <f aca="false">IF(OR(L73="",L73=0,M73=""),"",M73/L73)</f>
        <v>1832.5</v>
      </c>
      <c r="O73" s="16" t="n">
        <f aca="false">IF(OR(E73=0,N73=""),"",N73*12/E73)</f>
        <v>0.473646800353243</v>
      </c>
      <c r="P73" s="11" t="s">
        <v>167</v>
      </c>
      <c r="Q73" s="11" t="s">
        <v>100</v>
      </c>
      <c r="R73" s="11" t="s">
        <v>629</v>
      </c>
      <c r="S73" s="11" t="s">
        <v>630</v>
      </c>
    </row>
    <row r="74" customFormat="false" ht="15" hidden="false" customHeight="false" outlineLevel="0" collapsed="false">
      <c r="A74" s="5" t="s">
        <v>631</v>
      </c>
      <c r="B74" s="5" t="s">
        <v>405</v>
      </c>
      <c r="C74" s="5" t="s">
        <v>282</v>
      </c>
      <c r="D74" s="5" t="s">
        <v>96</v>
      </c>
      <c r="E74" s="6" t="n">
        <v>2124</v>
      </c>
      <c r="F74" s="5" t="s">
        <v>97</v>
      </c>
      <c r="G74" s="5" t="n">
        <v>2024</v>
      </c>
      <c r="H74" s="5" t="s">
        <v>111</v>
      </c>
      <c r="I74" s="7" t="n">
        <v>45309</v>
      </c>
      <c r="J74" s="7" t="n">
        <v>45657</v>
      </c>
      <c r="K74" s="5" t="str">
        <f aca="true">IF(J74="","",IF(J74&gt;=TODAY(),"Vigente","Encerrado"))</f>
        <v>Encerrado</v>
      </c>
      <c r="L74" s="8" t="n">
        <f aca="false">IF(OR(I74="",J74=""),"",ROUND((J74-I74)/30.44,1))</f>
        <v>11.4</v>
      </c>
      <c r="M74" s="9" t="n">
        <v>18000</v>
      </c>
      <c r="N74" s="9" t="n">
        <f aca="false">IF(OR(L74="",L74=0,M74=""),"",M74/L74)</f>
        <v>1578.94736842105</v>
      </c>
      <c r="O74" s="10" t="n">
        <f aca="false">IF(OR(E74=0,N74=""),"",N74*12/E74)</f>
        <v>8.92060660124889</v>
      </c>
      <c r="P74" s="5" t="s">
        <v>167</v>
      </c>
      <c r="Q74" s="5" t="s">
        <v>100</v>
      </c>
      <c r="R74" s="5" t="s">
        <v>632</v>
      </c>
      <c r="S74" s="5" t="s">
        <v>633</v>
      </c>
    </row>
    <row r="75" customFormat="false" ht="15" hidden="false" customHeight="false" outlineLevel="0" collapsed="false">
      <c r="A75" s="11" t="s">
        <v>508</v>
      </c>
      <c r="B75" s="11" t="s">
        <v>405</v>
      </c>
      <c r="C75" s="11" t="s">
        <v>509</v>
      </c>
      <c r="D75" s="11" t="s">
        <v>96</v>
      </c>
      <c r="E75" s="12" t="n">
        <v>19901</v>
      </c>
      <c r="F75" s="11" t="s">
        <v>97</v>
      </c>
      <c r="G75" s="11" t="n">
        <v>2026</v>
      </c>
      <c r="H75" s="11" t="s">
        <v>634</v>
      </c>
      <c r="I75" s="13" t="n">
        <v>46044</v>
      </c>
      <c r="J75" s="13" t="n">
        <v>46387</v>
      </c>
      <c r="K75" s="11" t="str">
        <f aca="true">IF(J75="","",IF(J75&gt;=TODAY(),"Vigente","Encerrado"))</f>
        <v>Vigente</v>
      </c>
      <c r="L75" s="14" t="n">
        <f aca="false">IF(OR(I75="",J75=""),"",ROUND((J75-I75)/30.44,1))</f>
        <v>11.3</v>
      </c>
      <c r="M75" s="15" t="n">
        <v>24750</v>
      </c>
      <c r="N75" s="15" t="n">
        <f aca="false">IF(OR(L75="",L75=0,M75=""),"",M75/L75)</f>
        <v>2190.26548672566</v>
      </c>
      <c r="O75" s="16" t="n">
        <f aca="false">IF(OR(E75=0,N75=""),"",N75*12/E75)</f>
        <v>1.32069674090287</v>
      </c>
      <c r="P75" s="11" t="s">
        <v>167</v>
      </c>
      <c r="Q75" s="11" t="s">
        <v>100</v>
      </c>
      <c r="R75" s="17" t="s">
        <v>635</v>
      </c>
      <c r="S75" s="11" t="s">
        <v>636</v>
      </c>
    </row>
    <row r="76" customFormat="false" ht="15" hidden="false" customHeight="false" outlineLevel="0" collapsed="false">
      <c r="A76" s="5" t="s">
        <v>508</v>
      </c>
      <c r="B76" s="5" t="s">
        <v>405</v>
      </c>
      <c r="C76" s="5" t="s">
        <v>509</v>
      </c>
      <c r="D76" s="5" t="s">
        <v>96</v>
      </c>
      <c r="E76" s="6" t="n">
        <v>19901</v>
      </c>
      <c r="F76" s="5" t="s">
        <v>97</v>
      </c>
      <c r="G76" s="5" t="n">
        <v>2025</v>
      </c>
      <c r="H76" s="5" t="s">
        <v>634</v>
      </c>
      <c r="I76" s="7" t="n">
        <v>45673</v>
      </c>
      <c r="J76" s="7" t="n">
        <v>46022</v>
      </c>
      <c r="K76" s="5" t="str">
        <f aca="true">IF(J76="","",IF(J76&gt;=TODAY(),"Vigente","Encerrado"))</f>
        <v>Encerrado</v>
      </c>
      <c r="L76" s="8" t="n">
        <f aca="false">IF(OR(I76="",J76=""),"",ROUND((J76-I76)/30.44,1))</f>
        <v>11.5</v>
      </c>
      <c r="M76" s="9" t="n">
        <v>19800</v>
      </c>
      <c r="N76" s="9" t="n">
        <f aca="false">IF(OR(L76="",L76=0,M76=""),"",M76/L76)</f>
        <v>1721.73913043478</v>
      </c>
      <c r="O76" s="10" t="n">
        <f aca="false">IF(OR(E76=0,N76=""),"",N76*12/E76)</f>
        <v>1.03818248154451</v>
      </c>
      <c r="P76" s="5" t="s">
        <v>167</v>
      </c>
      <c r="Q76" s="5" t="s">
        <v>100</v>
      </c>
      <c r="R76" s="5" t="s">
        <v>637</v>
      </c>
      <c r="S76" s="5" t="s">
        <v>638</v>
      </c>
    </row>
    <row r="77" customFormat="false" ht="15" hidden="false" customHeight="false" outlineLevel="0" collapsed="false">
      <c r="A77" s="11" t="s">
        <v>512</v>
      </c>
      <c r="B77" s="11" t="s">
        <v>405</v>
      </c>
      <c r="C77" s="11" t="s">
        <v>146</v>
      </c>
      <c r="D77" s="11" t="s">
        <v>96</v>
      </c>
      <c r="E77" s="12" t="n">
        <v>2893</v>
      </c>
      <c r="F77" s="11" t="s">
        <v>97</v>
      </c>
      <c r="G77" s="11" t="n">
        <v>2025</v>
      </c>
      <c r="H77" s="11" t="s">
        <v>111</v>
      </c>
      <c r="I77" s="13" t="n">
        <v>45659</v>
      </c>
      <c r="J77" s="13" t="n">
        <v>46022</v>
      </c>
      <c r="K77" s="11" t="str">
        <f aca="true">IF(J77="","",IF(J77&gt;=TODAY(),"Vigente","Encerrado"))</f>
        <v>Encerrado</v>
      </c>
      <c r="L77" s="14" t="n">
        <f aca="false">IF(OR(I77="",J77=""),"",ROUND((J77-I77)/30.44,1))</f>
        <v>11.9</v>
      </c>
      <c r="M77" s="15" t="n">
        <v>16380</v>
      </c>
      <c r="N77" s="15" t="n">
        <f aca="false">IF(OR(L77="",L77=0,M77=""),"",M77/L77)</f>
        <v>1376.47058823529</v>
      </c>
      <c r="O77" s="16" t="n">
        <f aca="false">IF(OR(E77=0,N77=""),"",N77*12/E77)</f>
        <v>5.70952196986641</v>
      </c>
      <c r="P77" s="11" t="s">
        <v>167</v>
      </c>
      <c r="Q77" s="11" t="s">
        <v>100</v>
      </c>
      <c r="R77" s="11" t="s">
        <v>513</v>
      </c>
      <c r="S77" s="11" t="s">
        <v>639</v>
      </c>
    </row>
    <row r="78" customFormat="false" ht="15" hidden="false" customHeight="false" outlineLevel="0" collapsed="false">
      <c r="A78" s="5" t="s">
        <v>640</v>
      </c>
      <c r="B78" s="5" t="s">
        <v>405</v>
      </c>
      <c r="C78" s="5" t="s">
        <v>304</v>
      </c>
      <c r="D78" s="5" t="s">
        <v>96</v>
      </c>
      <c r="E78" s="6" t="n">
        <v>3562</v>
      </c>
      <c r="F78" s="5" t="s">
        <v>97</v>
      </c>
      <c r="G78" s="5" t="n">
        <v>2024</v>
      </c>
      <c r="H78" s="5" t="s">
        <v>111</v>
      </c>
      <c r="I78" s="7" t="n">
        <v>45344</v>
      </c>
      <c r="J78" s="7" t="n">
        <v>45657</v>
      </c>
      <c r="K78" s="5" t="str">
        <f aca="true">IF(J78="","",IF(J78&gt;=TODAY(),"Vigente","Encerrado"))</f>
        <v>Encerrado</v>
      </c>
      <c r="L78" s="8" t="n">
        <f aca="false">IF(OR(I78="",J78=""),"",ROUND((J78-I78)/30.44,1))</f>
        <v>10.3</v>
      </c>
      <c r="M78" s="9" t="n">
        <v>15600</v>
      </c>
      <c r="N78" s="9" t="n">
        <f aca="false">IF(OR(L78="",L78=0,M78=""),"",M78/L78)</f>
        <v>1514.56310679612</v>
      </c>
      <c r="O78" s="10" t="n">
        <f aca="false">IF(OR(E78=0,N78=""),"",N78*12/E78)</f>
        <v>5.10240238112111</v>
      </c>
      <c r="P78" s="5" t="s">
        <v>167</v>
      </c>
      <c r="Q78" s="5" t="s">
        <v>100</v>
      </c>
      <c r="R78" s="5" t="s">
        <v>641</v>
      </c>
      <c r="S78" s="5" t="s">
        <v>642</v>
      </c>
    </row>
    <row r="79" customFormat="false" ht="15" hidden="false" customHeight="false" outlineLevel="0" collapsed="false">
      <c r="A79" s="11" t="s">
        <v>643</v>
      </c>
      <c r="B79" s="11" t="s">
        <v>405</v>
      </c>
      <c r="C79" s="11" t="s">
        <v>308</v>
      </c>
      <c r="D79" s="11" t="s">
        <v>96</v>
      </c>
      <c r="E79" s="12" t="n">
        <v>33706</v>
      </c>
      <c r="F79" s="11" t="s">
        <v>105</v>
      </c>
      <c r="G79" s="11" t="n">
        <v>2024</v>
      </c>
      <c r="H79" s="11" t="s">
        <v>111</v>
      </c>
      <c r="I79" s="13" t="n">
        <v>45302</v>
      </c>
      <c r="J79" s="13" t="n">
        <v>45657</v>
      </c>
      <c r="K79" s="11" t="str">
        <f aca="true">IF(J79="","",IF(J79&gt;=TODAY(),"Vigente","Encerrado"))</f>
        <v>Encerrado</v>
      </c>
      <c r="L79" s="14" t="n">
        <f aca="false">IF(OR(I79="",J79=""),"",ROUND((J79-I79)/30.44,1))</f>
        <v>11.7</v>
      </c>
      <c r="M79" s="15" t="n">
        <v>21600</v>
      </c>
      <c r="N79" s="15" t="n">
        <f aca="false">IF(OR(L79="",L79=0,M79=""),"",M79/L79)</f>
        <v>1846.15384615385</v>
      </c>
      <c r="O79" s="16" t="n">
        <f aca="false">IF(OR(E79=0,N79=""),"",N79*12/E79)</f>
        <v>0.657267138012406</v>
      </c>
      <c r="P79" s="11" t="s">
        <v>167</v>
      </c>
      <c r="Q79" s="11" t="s">
        <v>100</v>
      </c>
      <c r="R79" s="11" t="s">
        <v>644</v>
      </c>
      <c r="S79" s="11" t="s">
        <v>645</v>
      </c>
    </row>
    <row r="80" customFormat="false" ht="15" hidden="false" customHeight="false" outlineLevel="0" collapsed="false">
      <c r="A80" s="5" t="s">
        <v>646</v>
      </c>
      <c r="B80" s="5" t="s">
        <v>405</v>
      </c>
      <c r="C80" s="5" t="s">
        <v>647</v>
      </c>
      <c r="D80" s="5" t="s">
        <v>96</v>
      </c>
      <c r="E80" s="6" t="n">
        <v>2130</v>
      </c>
      <c r="F80" s="5" t="s">
        <v>97</v>
      </c>
      <c r="G80" s="5" t="n">
        <v>2025</v>
      </c>
      <c r="H80" s="5" t="s">
        <v>111</v>
      </c>
      <c r="I80" s="7" t="n">
        <v>45672</v>
      </c>
      <c r="J80" s="7" t="n">
        <v>46022</v>
      </c>
      <c r="K80" s="5" t="str">
        <f aca="true">IF(J80="","",IF(J80&gt;=TODAY(),"Vigente","Encerrado"))</f>
        <v>Encerrado</v>
      </c>
      <c r="L80" s="8" t="n">
        <f aca="false">IF(OR(I80="",J80=""),"",ROUND((J80-I80)/30.44,1))</f>
        <v>11.5</v>
      </c>
      <c r="M80" s="9" t="n">
        <v>18000</v>
      </c>
      <c r="N80" s="9" t="n">
        <f aca="false">IF(OR(L80="",L80=0,M80=""),"",M80/L80)</f>
        <v>1565.21739130435</v>
      </c>
      <c r="O80" s="10" t="n">
        <f aca="false">IF(OR(E80=0,N80=""),"",N80*12/E80)</f>
        <v>8.81812614819351</v>
      </c>
      <c r="P80" s="5" t="s">
        <v>167</v>
      </c>
      <c r="Q80" s="5" t="s">
        <v>100</v>
      </c>
      <c r="R80" s="5" t="s">
        <v>648</v>
      </c>
      <c r="S80" s="5" t="s">
        <v>649</v>
      </c>
    </row>
    <row r="81" customFormat="false" ht="15" hidden="false" customHeight="false" outlineLevel="0" collapsed="false">
      <c r="A81" s="11" t="s">
        <v>650</v>
      </c>
      <c r="B81" s="11" t="s">
        <v>405</v>
      </c>
      <c r="C81" s="11" t="s">
        <v>312</v>
      </c>
      <c r="D81" s="11" t="s">
        <v>96</v>
      </c>
      <c r="E81" s="12" t="n">
        <v>3053</v>
      </c>
      <c r="F81" s="11" t="s">
        <v>97</v>
      </c>
      <c r="G81" s="11" t="n">
        <v>2025</v>
      </c>
      <c r="H81" s="11" t="s">
        <v>111</v>
      </c>
      <c r="I81" s="13" t="n">
        <v>45693</v>
      </c>
      <c r="J81" s="13" t="n">
        <v>46022</v>
      </c>
      <c r="K81" s="11" t="str">
        <f aca="true">IF(J81="","",IF(J81&gt;=TODAY(),"Vigente","Encerrado"))</f>
        <v>Encerrado</v>
      </c>
      <c r="L81" s="14" t="n">
        <f aca="false">IF(OR(I81="",J81=""),"",ROUND((J81-I81)/30.44,1))</f>
        <v>10.8</v>
      </c>
      <c r="M81" s="15" t="n">
        <v>18000</v>
      </c>
      <c r="N81" s="15" t="n">
        <f aca="false">IF(OR(L81="",L81=0,M81=""),"",M81/L81)</f>
        <v>1666.66666666667</v>
      </c>
      <c r="O81" s="16" t="n">
        <f aca="false">IF(OR(E81=0,N81=""),"",N81*12/E81)</f>
        <v>6.55093350802489</v>
      </c>
      <c r="P81" s="11" t="s">
        <v>167</v>
      </c>
      <c r="Q81" s="11" t="s">
        <v>100</v>
      </c>
      <c r="R81" s="11" t="s">
        <v>651</v>
      </c>
      <c r="S81" s="11" t="s">
        <v>652</v>
      </c>
    </row>
    <row r="82" customFormat="false" ht="15" hidden="false" customHeight="false" outlineLevel="0" collapsed="false">
      <c r="A82" s="5" t="s">
        <v>653</v>
      </c>
      <c r="B82" s="5" t="s">
        <v>405</v>
      </c>
      <c r="C82" s="5" t="s">
        <v>316</v>
      </c>
      <c r="D82" s="5" t="s">
        <v>96</v>
      </c>
      <c r="E82" s="6" t="n">
        <v>3568</v>
      </c>
      <c r="F82" s="5" t="s">
        <v>97</v>
      </c>
      <c r="G82" s="5" t="n">
        <v>2025</v>
      </c>
      <c r="H82" s="5" t="s">
        <v>634</v>
      </c>
      <c r="I82" s="7" t="n">
        <v>45663</v>
      </c>
      <c r="J82" s="7" t="n">
        <v>46022</v>
      </c>
      <c r="K82" s="5" t="str">
        <f aca="true">IF(J82="","",IF(J82&gt;=TODAY(),"Vigente","Encerrado"))</f>
        <v>Encerrado</v>
      </c>
      <c r="L82" s="8" t="n">
        <f aca="false">IF(OR(I82="",J82=""),"",ROUND((J82-I82)/30.44,1))</f>
        <v>11.8</v>
      </c>
      <c r="M82" s="9" t="n">
        <v>16200</v>
      </c>
      <c r="N82" s="9" t="n">
        <f aca="false">IF(OR(L82="",L82=0,M82=""),"",M82/L82)</f>
        <v>1372.8813559322</v>
      </c>
      <c r="O82" s="10" t="n">
        <f aca="false">IF(OR(E82=0,N82=""),"",N82*12/E82)</f>
        <v>4.61731397735046</v>
      </c>
      <c r="P82" s="5" t="s">
        <v>167</v>
      </c>
      <c r="Q82" s="5" t="s">
        <v>100</v>
      </c>
      <c r="R82" s="5" t="s">
        <v>654</v>
      </c>
      <c r="S82" s="5" t="s">
        <v>655</v>
      </c>
    </row>
    <row r="83" customFormat="false" ht="15" hidden="false" customHeight="false" outlineLevel="0" collapsed="false">
      <c r="A83" s="11" t="s">
        <v>656</v>
      </c>
      <c r="B83" s="11" t="s">
        <v>405</v>
      </c>
      <c r="C83" s="11" t="s">
        <v>657</v>
      </c>
      <c r="D83" s="11" t="s">
        <v>96</v>
      </c>
      <c r="E83" s="12" t="n">
        <v>33749</v>
      </c>
      <c r="F83" s="11" t="s">
        <v>105</v>
      </c>
      <c r="G83" s="11" t="n">
        <v>2024</v>
      </c>
      <c r="H83" s="11" t="s">
        <v>111</v>
      </c>
      <c r="I83" s="13" t="n">
        <v>45393</v>
      </c>
      <c r="J83" s="13" t="n">
        <v>45657</v>
      </c>
      <c r="K83" s="11" t="str">
        <f aca="true">IF(J83="","",IF(J83&gt;=TODAY(),"Vigente","Encerrado"))</f>
        <v>Encerrado</v>
      </c>
      <c r="L83" s="14" t="n">
        <f aca="false">IF(OR(I83="",J83=""),"",ROUND((J83-I83)/30.44,1))</f>
        <v>8.7</v>
      </c>
      <c r="M83" s="15" t="n">
        <v>21600</v>
      </c>
      <c r="N83" s="15" t="n">
        <f aca="false">IF(OR(L83="",L83=0,M83=""),"",M83/L83)</f>
        <v>2482.75862068966</v>
      </c>
      <c r="O83" s="16" t="n">
        <f aca="false">IF(OR(E83=0,N83=""),"",N83*12/E83)</f>
        <v>0.882784777275649</v>
      </c>
      <c r="P83" s="11" t="s">
        <v>167</v>
      </c>
      <c r="Q83" s="11" t="s">
        <v>100</v>
      </c>
      <c r="R83" s="11" t="s">
        <v>658</v>
      </c>
      <c r="S83" s="11" t="s">
        <v>659</v>
      </c>
    </row>
    <row r="84" customFormat="false" ht="15" hidden="false" customHeight="false" outlineLevel="0" collapsed="false">
      <c r="A84" s="5" t="s">
        <v>660</v>
      </c>
      <c r="B84" s="5" t="s">
        <v>405</v>
      </c>
      <c r="C84" s="5" t="s">
        <v>349</v>
      </c>
      <c r="D84" s="5" t="s">
        <v>137</v>
      </c>
      <c r="E84" s="6" t="n">
        <v>9438</v>
      </c>
      <c r="F84" s="5" t="s">
        <v>97</v>
      </c>
      <c r="G84" s="5" t="n">
        <v>2026</v>
      </c>
      <c r="H84" s="5" t="s">
        <v>111</v>
      </c>
      <c r="I84" s="7" t="n">
        <v>46044</v>
      </c>
      <c r="J84" s="7" t="n">
        <v>46387</v>
      </c>
      <c r="K84" s="5" t="str">
        <f aca="true">IF(J84="","",IF(J84&gt;=TODAY(),"Vigente","Encerrado"))</f>
        <v>Vigente</v>
      </c>
      <c r="L84" s="8" t="n">
        <f aca="false">IF(OR(I84="",J84=""),"",ROUND((J84-I84)/30.44,1))</f>
        <v>11.3</v>
      </c>
      <c r="M84" s="9" t="n">
        <v>24000</v>
      </c>
      <c r="N84" s="9" t="n">
        <f aca="false">IF(OR(L84="",L84=0,M84=""),"",M84/L84)</f>
        <v>2123.89380530973</v>
      </c>
      <c r="O84" s="10" t="n">
        <f aca="false">IF(OR(E84=0,N84=""),"",N84*12/E84)</f>
        <v>2.70043713326095</v>
      </c>
      <c r="P84" s="5" t="s">
        <v>195</v>
      </c>
      <c r="Q84" s="5" t="s">
        <v>100</v>
      </c>
      <c r="R84" s="5" t="s">
        <v>661</v>
      </c>
      <c r="S84" s="5" t="s">
        <v>662</v>
      </c>
    </row>
    <row r="85" customFormat="false" ht="15" hidden="false" customHeight="false" outlineLevel="0" collapsed="false">
      <c r="A85" s="11" t="s">
        <v>663</v>
      </c>
      <c r="B85" s="11" t="s">
        <v>405</v>
      </c>
      <c r="C85" s="11" t="s">
        <v>353</v>
      </c>
      <c r="D85" s="11" t="s">
        <v>96</v>
      </c>
      <c r="E85" s="12" t="n">
        <v>9577</v>
      </c>
      <c r="F85" s="11" t="s">
        <v>97</v>
      </c>
      <c r="G85" s="11" t="n">
        <v>2025</v>
      </c>
      <c r="H85" s="11" t="s">
        <v>111</v>
      </c>
      <c r="I85" s="13" t="n">
        <v>45667</v>
      </c>
      <c r="J85" s="13" t="n">
        <v>46022</v>
      </c>
      <c r="K85" s="11" t="str">
        <f aca="true">IF(J85="","",IF(J85&gt;=TODAY(),"Vigente","Encerrado"))</f>
        <v>Encerrado</v>
      </c>
      <c r="L85" s="14" t="n">
        <f aca="false">IF(OR(I85="",J85=""),"",ROUND((J85-I85)/30.44,1))</f>
        <v>11.7</v>
      </c>
      <c r="M85" s="15" t="n">
        <v>18000</v>
      </c>
      <c r="N85" s="15" t="n">
        <f aca="false">IF(OR(L85="",L85=0,M85=""),"",M85/L85)</f>
        <v>1538.46153846154</v>
      </c>
      <c r="O85" s="16" t="n">
        <f aca="false">IF(OR(E85=0,N85=""),"",N85*12/E85)</f>
        <v>1.92769535987663</v>
      </c>
      <c r="P85" s="11" t="s">
        <v>167</v>
      </c>
      <c r="Q85" s="11" t="s">
        <v>100</v>
      </c>
      <c r="R85" s="11" t="s">
        <v>664</v>
      </c>
      <c r="S85" s="11" t="s">
        <v>665</v>
      </c>
    </row>
    <row r="86" customFormat="false" ht="15" hidden="false" customHeight="false" outlineLevel="0" collapsed="false">
      <c r="A86" s="5" t="s">
        <v>663</v>
      </c>
      <c r="B86" s="5" t="s">
        <v>405</v>
      </c>
      <c r="C86" s="5" t="s">
        <v>353</v>
      </c>
      <c r="D86" s="5" t="s">
        <v>96</v>
      </c>
      <c r="E86" s="6" t="n">
        <v>9577</v>
      </c>
      <c r="F86" s="5" t="s">
        <v>97</v>
      </c>
      <c r="G86" s="5" t="n">
        <v>2024</v>
      </c>
      <c r="H86" s="5" t="s">
        <v>111</v>
      </c>
      <c r="I86" s="7" t="n">
        <v>45301</v>
      </c>
      <c r="J86" s="7" t="n">
        <v>45657</v>
      </c>
      <c r="K86" s="5" t="str">
        <f aca="true">IF(J86="","",IF(J86&gt;=TODAY(),"Vigente","Encerrado"))</f>
        <v>Encerrado</v>
      </c>
      <c r="L86" s="8" t="n">
        <f aca="false">IF(OR(I86="",J86=""),"",ROUND((J86-I86)/30.44,1))</f>
        <v>11.7</v>
      </c>
      <c r="M86" s="9" t="n">
        <v>15600</v>
      </c>
      <c r="N86" s="9" t="n">
        <f aca="false">IF(OR(L86="",L86=0,M86=""),"",M86/L86)</f>
        <v>1333.33333333333</v>
      </c>
      <c r="O86" s="10" t="n">
        <f aca="false">IF(OR(E86=0,N86=""),"",N86*12/E86)</f>
        <v>1.67066931189308</v>
      </c>
      <c r="P86" s="5" t="s">
        <v>167</v>
      </c>
      <c r="Q86" s="5" t="s">
        <v>100</v>
      </c>
      <c r="R86" s="5" t="s">
        <v>666</v>
      </c>
      <c r="S86" s="5" t="s">
        <v>667</v>
      </c>
    </row>
    <row r="87" customFormat="false" ht="15" hidden="false" customHeight="false" outlineLevel="0" collapsed="false">
      <c r="A87" s="11" t="s">
        <v>521</v>
      </c>
      <c r="B87" s="11" t="s">
        <v>405</v>
      </c>
      <c r="C87" s="11" t="s">
        <v>522</v>
      </c>
      <c r="D87" s="11" t="s">
        <v>96</v>
      </c>
      <c r="E87" s="12" t="n">
        <v>11913</v>
      </c>
      <c r="F87" s="11" t="s">
        <v>97</v>
      </c>
      <c r="G87" s="11" t="n">
        <v>2023</v>
      </c>
      <c r="H87" s="11" t="s">
        <v>111</v>
      </c>
      <c r="I87" s="13" t="n">
        <v>44928</v>
      </c>
      <c r="J87" s="13" t="n">
        <v>45291</v>
      </c>
      <c r="K87" s="11" t="str">
        <f aca="true">IF(J87="","",IF(J87&gt;=TODAY(),"Vigente","Encerrado"))</f>
        <v>Encerrado</v>
      </c>
      <c r="L87" s="14" t="n">
        <f aca="false">IF(OR(I87="",J87=""),"",ROUND((J87-I87)/30.44,1))</f>
        <v>11.9</v>
      </c>
      <c r="M87" s="15" t="n">
        <v>14844</v>
      </c>
      <c r="N87" s="15" t="n">
        <f aca="false">IF(OR(L87="",L87=0,M87=""),"",M87/L87)</f>
        <v>1247.39495798319</v>
      </c>
      <c r="O87" s="16" t="n">
        <f aca="false">IF(OR(E87=0,N87=""),"",N87*12/E87)</f>
        <v>1.25650461645247</v>
      </c>
      <c r="P87" s="11" t="s">
        <v>167</v>
      </c>
      <c r="Q87" s="11" t="s">
        <v>100</v>
      </c>
      <c r="R87" s="11" t="s">
        <v>668</v>
      </c>
      <c r="S87" s="11" t="s">
        <v>669</v>
      </c>
    </row>
    <row r="88" customFormat="false" ht="15" hidden="false" customHeight="false" outlineLevel="0" collapsed="false">
      <c r="A88" s="5" t="s">
        <v>670</v>
      </c>
      <c r="B88" s="5" t="s">
        <v>405</v>
      </c>
      <c r="C88" s="5" t="s">
        <v>357</v>
      </c>
      <c r="D88" s="5" t="s">
        <v>96</v>
      </c>
      <c r="E88" s="6" t="n">
        <v>18685</v>
      </c>
      <c r="F88" s="5" t="s">
        <v>97</v>
      </c>
      <c r="G88" s="5" t="n">
        <v>2023</v>
      </c>
      <c r="H88" s="5" t="s">
        <v>111</v>
      </c>
      <c r="I88" s="7" t="n">
        <v>44928</v>
      </c>
      <c r="J88" s="7" t="n">
        <v>45291</v>
      </c>
      <c r="K88" s="5" t="str">
        <f aca="true">IF(J88="","",IF(J88&gt;=TODAY(),"Vigente","Encerrado"))</f>
        <v>Encerrado</v>
      </c>
      <c r="L88" s="8" t="n">
        <f aca="false">IF(OR(I88="",J88=""),"",ROUND((J88-I88)/30.44,1))</f>
        <v>11.9</v>
      </c>
      <c r="M88" s="9" t="n">
        <v>14760</v>
      </c>
      <c r="N88" s="9" t="n">
        <f aca="false">IF(OR(L88="",L88=0,M88=""),"",M88/L88)</f>
        <v>1240.33613445378</v>
      </c>
      <c r="O88" s="10" t="n">
        <f aca="false">IF(OR(E88=0,N88=""),"",N88*12/E88)</f>
        <v>0.796576591567855</v>
      </c>
      <c r="P88" s="5" t="s">
        <v>167</v>
      </c>
      <c r="Q88" s="5" t="s">
        <v>100</v>
      </c>
      <c r="R88" s="18" t="s">
        <v>671</v>
      </c>
      <c r="S88" s="5" t="s">
        <v>672</v>
      </c>
    </row>
    <row r="89" customFormat="false" ht="15" hidden="false" customHeight="false" outlineLevel="0" collapsed="false">
      <c r="A89" s="11" t="s">
        <v>673</v>
      </c>
      <c r="B89" s="11" t="s">
        <v>405</v>
      </c>
      <c r="C89" s="11" t="s">
        <v>674</v>
      </c>
      <c r="D89" s="11" t="s">
        <v>96</v>
      </c>
      <c r="E89" s="12" t="n">
        <v>3732</v>
      </c>
      <c r="F89" s="11" t="s">
        <v>97</v>
      </c>
      <c r="G89" s="11" t="n">
        <v>2025</v>
      </c>
      <c r="H89" s="11" t="s">
        <v>111</v>
      </c>
      <c r="I89" s="13" t="n">
        <v>45667</v>
      </c>
      <c r="J89" s="13" t="n">
        <v>46022</v>
      </c>
      <c r="K89" s="11" t="str">
        <f aca="true">IF(J89="","",IF(J89&gt;=TODAY(),"Vigente","Encerrado"))</f>
        <v>Encerrado</v>
      </c>
      <c r="L89" s="14" t="n">
        <f aca="false">IF(OR(I89="",J89=""),"",ROUND((J89-I89)/30.44,1))</f>
        <v>11.7</v>
      </c>
      <c r="M89" s="15" t="n">
        <v>15000</v>
      </c>
      <c r="N89" s="15" t="n">
        <f aca="false">IF(OR(L89="",L89=0,M89=""),"",M89/L89)</f>
        <v>1282.05128205128</v>
      </c>
      <c r="O89" s="16" t="n">
        <f aca="false">IF(OR(E89=0,N89=""),"",N89*12/E89)</f>
        <v>4.12235138923242</v>
      </c>
      <c r="P89" s="11" t="s">
        <v>167</v>
      </c>
      <c r="Q89" s="11" t="s">
        <v>100</v>
      </c>
      <c r="R89" s="11" t="s">
        <v>675</v>
      </c>
      <c r="S89" s="11" t="s">
        <v>676</v>
      </c>
    </row>
    <row r="90" customFormat="false" ht="15" hidden="false" customHeight="false" outlineLevel="0" collapsed="false">
      <c r="A90" s="5" t="s">
        <v>677</v>
      </c>
      <c r="B90" s="5" t="s">
        <v>405</v>
      </c>
      <c r="C90" s="5" t="s">
        <v>157</v>
      </c>
      <c r="D90" s="5" t="s">
        <v>96</v>
      </c>
      <c r="E90" s="6" t="n">
        <v>20132</v>
      </c>
      <c r="F90" s="5" t="s">
        <v>105</v>
      </c>
      <c r="G90" s="5" t="n">
        <v>2025</v>
      </c>
      <c r="H90" s="5" t="s">
        <v>634</v>
      </c>
      <c r="I90" s="7" t="n">
        <v>45664</v>
      </c>
      <c r="J90" s="7" t="n">
        <v>46022</v>
      </c>
      <c r="K90" s="5" t="str">
        <f aca="true">IF(J90="","",IF(J90&gt;=TODAY(),"Vigente","Encerrado"))</f>
        <v>Encerrado</v>
      </c>
      <c r="L90" s="8" t="n">
        <f aca="false">IF(OR(I90="",J90=""),"",ROUND((J90-I90)/30.44,1))</f>
        <v>11.8</v>
      </c>
      <c r="M90" s="9" t="n">
        <v>24243.6</v>
      </c>
      <c r="N90" s="9" t="n">
        <f aca="false">IF(OR(L90="",L90=0,M90=""),"",M90/L90)</f>
        <v>2054.54237288136</v>
      </c>
      <c r="O90" s="10" t="n">
        <f aca="false">IF(OR(E90=0,N90=""),"",N90*12/E90)</f>
        <v>1.22464278137176</v>
      </c>
      <c r="P90" s="5" t="s">
        <v>167</v>
      </c>
      <c r="Q90" s="5" t="s">
        <v>100</v>
      </c>
      <c r="R90" s="5" t="s">
        <v>678</v>
      </c>
      <c r="S90" s="5" t="s">
        <v>679</v>
      </c>
    </row>
    <row r="91" customFormat="false" ht="15" hidden="false" customHeight="false" outlineLevel="0" collapsed="false">
      <c r="A91" s="11" t="s">
        <v>677</v>
      </c>
      <c r="B91" s="11" t="s">
        <v>405</v>
      </c>
      <c r="C91" s="11" t="s">
        <v>157</v>
      </c>
      <c r="D91" s="11" t="s">
        <v>96</v>
      </c>
      <c r="E91" s="12" t="n">
        <v>20132</v>
      </c>
      <c r="F91" s="11" t="s">
        <v>105</v>
      </c>
      <c r="G91" s="11" t="n">
        <v>2024</v>
      </c>
      <c r="H91" s="11" t="s">
        <v>111</v>
      </c>
      <c r="I91" s="13" t="n">
        <v>45296</v>
      </c>
      <c r="J91" s="13" t="n">
        <v>45657</v>
      </c>
      <c r="K91" s="11" t="str">
        <f aca="true">IF(J91="","",IF(J91&gt;=TODAY(),"Vigente","Encerrado"))</f>
        <v>Encerrado</v>
      </c>
      <c r="L91" s="14" t="n">
        <f aca="false">IF(OR(I91="",J91=""),"",ROUND((J91-I91)/30.44,1))</f>
        <v>11.9</v>
      </c>
      <c r="M91" s="15" t="n">
        <v>22800</v>
      </c>
      <c r="N91" s="15" t="n">
        <f aca="false">IF(OR(L91="",L91=0,M91=""),"",M91/L91)</f>
        <v>1915.96638655462</v>
      </c>
      <c r="O91" s="16" t="n">
        <f aca="false">IF(OR(E91=0,N91=""),"",N91*12/E91)</f>
        <v>1.14204235240689</v>
      </c>
      <c r="P91" s="11" t="s">
        <v>167</v>
      </c>
      <c r="Q91" s="11" t="s">
        <v>100</v>
      </c>
      <c r="R91" s="11" t="s">
        <v>680</v>
      </c>
      <c r="S91" s="11" t="s">
        <v>681</v>
      </c>
    </row>
    <row r="92" customFormat="false" ht="15" hidden="false" customHeight="false" outlineLevel="0" collapsed="false">
      <c r="A92" s="5" t="s">
        <v>682</v>
      </c>
      <c r="B92" s="5" t="s">
        <v>405</v>
      </c>
      <c r="C92" s="5" t="s">
        <v>683</v>
      </c>
      <c r="D92" s="5" t="s">
        <v>96</v>
      </c>
      <c r="E92" s="6" t="n">
        <v>3016</v>
      </c>
      <c r="F92" s="5" t="s">
        <v>97</v>
      </c>
      <c r="G92" s="5" t="n">
        <v>2025</v>
      </c>
      <c r="H92" s="5" t="s">
        <v>111</v>
      </c>
      <c r="I92" s="7" t="n">
        <v>45674</v>
      </c>
      <c r="J92" s="7" t="n">
        <v>46022</v>
      </c>
      <c r="K92" s="5" t="str">
        <f aca="true">IF(J92="","",IF(J92&gt;=TODAY(),"Vigente","Encerrado"))</f>
        <v>Encerrado</v>
      </c>
      <c r="L92" s="8" t="n">
        <f aca="false">IF(OR(I92="",J92=""),"",ROUND((J92-I92)/30.44,1))</f>
        <v>11.4</v>
      </c>
      <c r="M92" s="9" t="n">
        <v>18000</v>
      </c>
      <c r="N92" s="9" t="n">
        <f aca="false">IF(OR(L92="",L92=0,M92=""),"",M92/L92)</f>
        <v>1578.94736842105</v>
      </c>
      <c r="O92" s="10" t="n">
        <f aca="false">IF(OR(E92=0,N92=""),"",N92*12/E92)</f>
        <v>6.28228395923496</v>
      </c>
      <c r="P92" s="5" t="s">
        <v>167</v>
      </c>
      <c r="Q92" s="5" t="s">
        <v>100</v>
      </c>
      <c r="R92" s="5" t="s">
        <v>684</v>
      </c>
      <c r="S92" s="5" t="s">
        <v>685</v>
      </c>
    </row>
    <row r="93" customFormat="false" ht="15" hidden="false" customHeight="false" outlineLevel="0" collapsed="false">
      <c r="A93" s="11" t="s">
        <v>686</v>
      </c>
      <c r="B93" s="11" t="s">
        <v>405</v>
      </c>
      <c r="C93" s="11" t="s">
        <v>687</v>
      </c>
      <c r="D93" s="11" t="s">
        <v>96</v>
      </c>
      <c r="E93" s="12" t="n">
        <v>74614</v>
      </c>
      <c r="F93" s="11" t="s">
        <v>105</v>
      </c>
      <c r="G93" s="11" t="n">
        <v>2024</v>
      </c>
      <c r="H93" s="11" t="s">
        <v>111</v>
      </c>
      <c r="I93" s="13" t="n">
        <v>45292</v>
      </c>
      <c r="J93" s="13" t="n">
        <v>45657</v>
      </c>
      <c r="K93" s="11" t="str">
        <f aca="true">IF(J93="","",IF(J93&gt;=TODAY(),"Vigente","Encerrado"))</f>
        <v>Encerrado</v>
      </c>
      <c r="L93" s="14" t="n">
        <f aca="false">IF(OR(I93="",J93=""),"",ROUND((J93-I93)/30.44,1))</f>
        <v>12</v>
      </c>
      <c r="M93" s="15" t="n">
        <v>26400</v>
      </c>
      <c r="N93" s="15" t="n">
        <f aca="false">IF(OR(L93="",L93=0,M93=""),"",M93/L93)</f>
        <v>2200</v>
      </c>
      <c r="O93" s="16" t="n">
        <f aca="false">IF(OR(E93=0,N93=""),"",N93*12/E93)</f>
        <v>0.353820998740183</v>
      </c>
      <c r="P93" s="11" t="s">
        <v>167</v>
      </c>
      <c r="Q93" s="11" t="s">
        <v>100</v>
      </c>
      <c r="R93" s="11" t="s">
        <v>688</v>
      </c>
      <c r="S93" s="11" t="s">
        <v>689</v>
      </c>
    </row>
    <row r="94" customFormat="false" ht="15" hidden="false" customHeight="false" outlineLevel="0" collapsed="false">
      <c r="A94" s="5" t="s">
        <v>690</v>
      </c>
      <c r="B94" s="5" t="s">
        <v>405</v>
      </c>
      <c r="C94" s="5" t="s">
        <v>691</v>
      </c>
      <c r="D94" s="5" t="s">
        <v>96</v>
      </c>
      <c r="E94" s="6" t="n">
        <v>8201</v>
      </c>
      <c r="F94" s="5" t="s">
        <v>97</v>
      </c>
      <c r="G94" s="5" t="n">
        <v>2026</v>
      </c>
      <c r="H94" s="5" t="s">
        <v>111</v>
      </c>
      <c r="I94" s="7" t="n">
        <v>46024</v>
      </c>
      <c r="J94" s="7" t="n">
        <v>46387</v>
      </c>
      <c r="K94" s="5" t="str">
        <f aca="true">IF(J94="","",IF(J94&gt;=TODAY(),"Vigente","Encerrado"))</f>
        <v>Vigente</v>
      </c>
      <c r="L94" s="8" t="n">
        <f aca="false">IF(OR(I94="",J94=""),"",ROUND((J94-I94)/30.44,1))</f>
        <v>11.9</v>
      </c>
      <c r="M94" s="9" t="n">
        <v>25500</v>
      </c>
      <c r="N94" s="9" t="n">
        <f aca="false">IF(OR(L94="",L94=0,M94=""),"",M94/L94)</f>
        <v>2142.85714285714</v>
      </c>
      <c r="O94" s="10" t="n">
        <f aca="false">IF(OR(E94=0,N94=""),"",N94*12/E94)</f>
        <v>3.13550612294668</v>
      </c>
      <c r="P94" s="5" t="s">
        <v>167</v>
      </c>
      <c r="Q94" s="5" t="s">
        <v>100</v>
      </c>
      <c r="R94" s="5" t="s">
        <v>692</v>
      </c>
      <c r="S94" s="5" t="s">
        <v>693</v>
      </c>
    </row>
    <row r="95" customFormat="false" ht="15" hidden="false" customHeight="false" outlineLevel="0" collapsed="false">
      <c r="A95" s="11" t="s">
        <v>690</v>
      </c>
      <c r="B95" s="11" t="s">
        <v>405</v>
      </c>
      <c r="C95" s="11" t="s">
        <v>691</v>
      </c>
      <c r="D95" s="11" t="s">
        <v>96</v>
      </c>
      <c r="E95" s="12" t="n">
        <v>8201</v>
      </c>
      <c r="F95" s="11" t="s">
        <v>97</v>
      </c>
      <c r="G95" s="11" t="n">
        <v>2025</v>
      </c>
      <c r="H95" s="11" t="s">
        <v>111</v>
      </c>
      <c r="I95" s="13" t="n">
        <v>45666</v>
      </c>
      <c r="J95" s="13" t="n">
        <v>46022</v>
      </c>
      <c r="K95" s="11" t="str">
        <f aca="true">IF(J95="","",IF(J95&gt;=TODAY(),"Vigente","Encerrado"))</f>
        <v>Encerrado</v>
      </c>
      <c r="L95" s="14" t="n">
        <f aca="false">IF(OR(I95="",J95=""),"",ROUND((J95-I95)/30.44,1))</f>
        <v>11.7</v>
      </c>
      <c r="M95" s="15" t="n">
        <v>20400</v>
      </c>
      <c r="N95" s="15" t="n">
        <f aca="false">IF(OR(L95="",L95=0,M95=""),"",M95/L95)</f>
        <v>1743.58974358974</v>
      </c>
      <c r="O95" s="16" t="n">
        <f aca="false">IF(OR(E95=0,N95=""),"",N95*12/E95)</f>
        <v>2.55128361456858</v>
      </c>
      <c r="P95" s="11" t="s">
        <v>167</v>
      </c>
      <c r="Q95" s="11" t="s">
        <v>100</v>
      </c>
      <c r="R95" s="11" t="s">
        <v>694</v>
      </c>
      <c r="S95" s="11" t="s">
        <v>695</v>
      </c>
    </row>
    <row r="96" customFormat="false" ht="15" hidden="false" customHeight="false" outlineLevel="0" collapsed="false">
      <c r="A96" s="5" t="s">
        <v>696</v>
      </c>
      <c r="B96" s="5" t="s">
        <v>405</v>
      </c>
      <c r="C96" s="5" t="s">
        <v>697</v>
      </c>
      <c r="D96" s="5" t="s">
        <v>96</v>
      </c>
      <c r="E96" s="6" t="n">
        <v>22939</v>
      </c>
      <c r="F96" s="5" t="s">
        <v>105</v>
      </c>
      <c r="G96" s="5" t="n">
        <v>2025</v>
      </c>
      <c r="H96" s="5" t="s">
        <v>111</v>
      </c>
      <c r="I96" s="7" t="n">
        <v>45670</v>
      </c>
      <c r="J96" s="7" t="n">
        <v>46022</v>
      </c>
      <c r="K96" s="5" t="str">
        <f aca="true">IF(J96="","",IF(J96&gt;=TODAY(),"Vigente","Encerrado"))</f>
        <v>Encerrado</v>
      </c>
      <c r="L96" s="8" t="n">
        <f aca="false">IF(OR(I96="",J96=""),"",ROUND((J96-I96)/30.44,1))</f>
        <v>11.6</v>
      </c>
      <c r="M96" s="9" t="n">
        <v>19800</v>
      </c>
      <c r="N96" s="9" t="n">
        <f aca="false">IF(OR(L96="",L96=0,M96=""),"",M96/L96)</f>
        <v>1706.89655172414</v>
      </c>
      <c r="O96" s="10" t="n">
        <f aca="false">IF(OR(E96=0,N96=""),"",N96*12/E96)</f>
        <v>0.892922909485577</v>
      </c>
      <c r="P96" s="5" t="s">
        <v>167</v>
      </c>
      <c r="Q96" s="5" t="s">
        <v>100</v>
      </c>
      <c r="R96" s="5" t="s">
        <v>698</v>
      </c>
      <c r="S96" s="5" t="s">
        <v>699</v>
      </c>
    </row>
    <row r="97" customFormat="false" ht="15" hidden="false" customHeight="false" outlineLevel="0" collapsed="false">
      <c r="A97" s="11" t="s">
        <v>696</v>
      </c>
      <c r="B97" s="11" t="s">
        <v>405</v>
      </c>
      <c r="C97" s="11" t="s">
        <v>697</v>
      </c>
      <c r="D97" s="11" t="s">
        <v>96</v>
      </c>
      <c r="E97" s="12" t="n">
        <v>22939</v>
      </c>
      <c r="F97" s="11" t="s">
        <v>105</v>
      </c>
      <c r="G97" s="11" t="n">
        <v>2024</v>
      </c>
      <c r="H97" s="11" t="s">
        <v>111</v>
      </c>
      <c r="I97" s="13" t="n">
        <v>45303</v>
      </c>
      <c r="J97" s="13" t="n">
        <v>45657</v>
      </c>
      <c r="K97" s="11" t="str">
        <f aca="true">IF(J97="","",IF(J97&gt;=TODAY(),"Vigente","Encerrado"))</f>
        <v>Encerrado</v>
      </c>
      <c r="L97" s="14" t="n">
        <f aca="false">IF(OR(I97="",J97=""),"",ROUND((J97-I97)/30.44,1))</f>
        <v>11.6</v>
      </c>
      <c r="M97" s="15" t="n">
        <v>18000</v>
      </c>
      <c r="N97" s="15" t="n">
        <f aca="false">IF(OR(L97="",L97=0,M97=""),"",M97/L97)</f>
        <v>1551.72413793103</v>
      </c>
      <c r="O97" s="16" t="n">
        <f aca="false">IF(OR(E97=0,N97=""),"",N97*12/E97)</f>
        <v>0.811748099532343</v>
      </c>
      <c r="P97" s="11" t="s">
        <v>167</v>
      </c>
      <c r="Q97" s="11" t="s">
        <v>100</v>
      </c>
      <c r="R97" s="11" t="s">
        <v>700</v>
      </c>
      <c r="S97" s="11" t="s">
        <v>701</v>
      </c>
    </row>
    <row r="98" customFormat="false" ht="15" hidden="false" customHeight="false" outlineLevel="0" collapsed="false">
      <c r="A98" s="5" t="s">
        <v>432</v>
      </c>
      <c r="B98" s="5" t="s">
        <v>405</v>
      </c>
      <c r="C98" s="5" t="s">
        <v>433</v>
      </c>
      <c r="D98" s="5" t="s">
        <v>96</v>
      </c>
      <c r="E98" s="6" t="n">
        <v>1807</v>
      </c>
      <c r="F98" s="5" t="s">
        <v>97</v>
      </c>
      <c r="G98" s="5" t="n">
        <v>2025</v>
      </c>
      <c r="H98" s="5" t="s">
        <v>111</v>
      </c>
      <c r="I98" s="7" t="n">
        <v>45659</v>
      </c>
      <c r="J98" s="7" t="n">
        <v>46022</v>
      </c>
      <c r="K98" s="5" t="str">
        <f aca="true">IF(J98="","",IF(J98&gt;=TODAY(),"Vigente","Encerrado"))</f>
        <v>Encerrado</v>
      </c>
      <c r="L98" s="8" t="n">
        <f aca="false">IF(OR(I98="",J98=""),"",ROUND((J98-I98)/30.44,1))</f>
        <v>11.9</v>
      </c>
      <c r="M98" s="9" t="n">
        <v>18000</v>
      </c>
      <c r="N98" s="9" t="n">
        <f aca="false">IF(OR(L98="",L98=0,M98=""),"",M98/L98)</f>
        <v>1512.60504201681</v>
      </c>
      <c r="O98" s="10" t="n">
        <f aca="false">IF(OR(E98=0,N98=""),"",N98*12/E98)</f>
        <v>10.0449698418382</v>
      </c>
      <c r="P98" s="5" t="s">
        <v>167</v>
      </c>
      <c r="Q98" s="5" t="s">
        <v>100</v>
      </c>
      <c r="R98" s="5" t="s">
        <v>702</v>
      </c>
      <c r="S98" s="5" t="s">
        <v>703</v>
      </c>
    </row>
    <row r="99" customFormat="false" ht="15" hidden="false" customHeight="false" outlineLevel="0" collapsed="false">
      <c r="A99" s="11" t="s">
        <v>432</v>
      </c>
      <c r="B99" s="11" t="s">
        <v>405</v>
      </c>
      <c r="C99" s="11" t="s">
        <v>433</v>
      </c>
      <c r="D99" s="11" t="s">
        <v>96</v>
      </c>
      <c r="E99" s="12" t="n">
        <v>1807</v>
      </c>
      <c r="F99" s="11" t="s">
        <v>97</v>
      </c>
      <c r="G99" s="11" t="n">
        <v>2024</v>
      </c>
      <c r="H99" s="11" t="s">
        <v>111</v>
      </c>
      <c r="I99" s="13" t="n">
        <v>45293</v>
      </c>
      <c r="J99" s="13" t="n">
        <v>45657</v>
      </c>
      <c r="K99" s="11" t="str">
        <f aca="true">IF(J99="","",IF(J99&gt;=TODAY(),"Vigente","Encerrado"))</f>
        <v>Encerrado</v>
      </c>
      <c r="L99" s="14" t="n">
        <f aca="false">IF(OR(I99="",J99=""),"",ROUND((J99-I99)/30.44,1))</f>
        <v>12</v>
      </c>
      <c r="M99" s="15" t="n">
        <v>15600</v>
      </c>
      <c r="N99" s="15" t="n">
        <f aca="false">IF(OR(L99="",L99=0,M99=""),"",M99/L99)</f>
        <v>1300</v>
      </c>
      <c r="O99" s="16" t="n">
        <f aca="false">IF(OR(E99=0,N99=""),"",N99*12/E99)</f>
        <v>8.63309352517986</v>
      </c>
      <c r="P99" s="11" t="s">
        <v>167</v>
      </c>
      <c r="Q99" s="11" t="s">
        <v>100</v>
      </c>
      <c r="R99" s="11" t="s">
        <v>704</v>
      </c>
      <c r="S99" s="11" t="s">
        <v>705</v>
      </c>
    </row>
    <row r="100" customFormat="false" ht="15" hidden="false" customHeight="false" outlineLevel="0" collapsed="false">
      <c r="A100" s="5" t="s">
        <v>706</v>
      </c>
      <c r="B100" s="5" t="s">
        <v>405</v>
      </c>
      <c r="C100" s="5" t="s">
        <v>707</v>
      </c>
      <c r="D100" s="5" t="s">
        <v>96</v>
      </c>
      <c r="E100" s="6" t="n">
        <v>4926</v>
      </c>
      <c r="F100" s="5" t="s">
        <v>97</v>
      </c>
      <c r="G100" s="5" t="n">
        <v>2024</v>
      </c>
      <c r="H100" s="5" t="s">
        <v>111</v>
      </c>
      <c r="I100" s="7" t="n">
        <v>45348</v>
      </c>
      <c r="J100" s="7" t="n">
        <v>45657</v>
      </c>
      <c r="K100" s="5" t="str">
        <f aca="true">IF(J100="","",IF(J100&gt;=TODAY(),"Vigente","Encerrado"))</f>
        <v>Encerrado</v>
      </c>
      <c r="L100" s="8" t="n">
        <f aca="false">IF(OR(I100="",J100=""),"",ROUND((J100-I100)/30.44,1))</f>
        <v>10.2</v>
      </c>
      <c r="M100" s="9" t="n">
        <v>12000</v>
      </c>
      <c r="N100" s="9" t="n">
        <f aca="false">IF(OR(L100="",L100=0,M100=""),"",M100/L100)</f>
        <v>1176.47058823529</v>
      </c>
      <c r="O100" s="10" t="n">
        <f aca="false">IF(OR(E100=0,N100=""),"",N100*12/E100)</f>
        <v>2.86594540374006</v>
      </c>
      <c r="P100" s="5" t="s">
        <v>167</v>
      </c>
      <c r="Q100" s="5" t="s">
        <v>100</v>
      </c>
      <c r="R100" s="5" t="s">
        <v>708</v>
      </c>
      <c r="S100" s="5" t="s">
        <v>709</v>
      </c>
    </row>
    <row r="101" customFormat="false" ht="15" hidden="false" customHeight="false" outlineLevel="0" collapsed="false">
      <c r="A101" s="11" t="s">
        <v>710</v>
      </c>
      <c r="B101" s="11" t="s">
        <v>405</v>
      </c>
      <c r="C101" s="11" t="s">
        <v>711</v>
      </c>
      <c r="D101" s="11" t="s">
        <v>96</v>
      </c>
      <c r="E101" s="12" t="n">
        <v>4621</v>
      </c>
      <c r="F101" s="11" t="s">
        <v>97</v>
      </c>
      <c r="G101" s="11" t="n">
        <v>2024</v>
      </c>
      <c r="H101" s="11" t="s">
        <v>111</v>
      </c>
      <c r="I101" s="13" t="n">
        <v>45310</v>
      </c>
      <c r="J101" s="13" t="n">
        <v>45657</v>
      </c>
      <c r="K101" s="11" t="str">
        <f aca="true">IF(J101="","",IF(J101&gt;=TODAY(),"Vigente","Encerrado"))</f>
        <v>Encerrado</v>
      </c>
      <c r="L101" s="14" t="n">
        <f aca="false">IF(OR(I101="",J101=""),"",ROUND((J101-I101)/30.44,1))</f>
        <v>11.4</v>
      </c>
      <c r="M101" s="15" t="n">
        <v>13800</v>
      </c>
      <c r="N101" s="15" t="n">
        <f aca="false">IF(OR(L101="",L101=0,M101=""),"",M101/L101)</f>
        <v>1210.52631578947</v>
      </c>
      <c r="O101" s="16" t="n">
        <f aca="false">IF(OR(E101=0,N101=""),"",N101*12/E101)</f>
        <v>3.14354377612501</v>
      </c>
      <c r="P101" s="11" t="s">
        <v>167</v>
      </c>
      <c r="Q101" s="11" t="s">
        <v>100</v>
      </c>
      <c r="R101" s="11" t="s">
        <v>712</v>
      </c>
      <c r="S101" s="11" t="s">
        <v>713</v>
      </c>
    </row>
    <row r="102" customFormat="false" ht="15" hidden="false" customHeight="false" outlineLevel="0" collapsed="false">
      <c r="A102" s="5" t="s">
        <v>531</v>
      </c>
      <c r="B102" s="5" t="s">
        <v>405</v>
      </c>
      <c r="C102" s="5" t="s">
        <v>532</v>
      </c>
      <c r="D102" s="5" t="s">
        <v>96</v>
      </c>
      <c r="E102" s="6" t="n">
        <v>2190</v>
      </c>
      <c r="F102" s="5" t="s">
        <v>97</v>
      </c>
      <c r="G102" s="5" t="n">
        <v>2026</v>
      </c>
      <c r="H102" s="5" t="s">
        <v>111</v>
      </c>
      <c r="I102" s="7" t="n">
        <v>46034</v>
      </c>
      <c r="J102" s="7" t="n">
        <v>46387</v>
      </c>
      <c r="K102" s="5" t="str">
        <f aca="true">IF(J102="","",IF(J102&gt;=TODAY(),"Vigente","Encerrado"))</f>
        <v>Vigente</v>
      </c>
      <c r="L102" s="8" t="n">
        <f aca="false">IF(OR(I102="",J102=""),"",ROUND((J102-I102)/30.44,1))</f>
        <v>11.6</v>
      </c>
      <c r="M102" s="9" t="n">
        <v>16800</v>
      </c>
      <c r="N102" s="9" t="n">
        <f aca="false">IF(OR(L102="",L102=0,M102=""),"",M102/L102)</f>
        <v>1448.27586206897</v>
      </c>
      <c r="O102" s="10" t="n">
        <f aca="false">IF(OR(E102=0,N102=""),"",N102*12/E102)</f>
        <v>7.9357581483231</v>
      </c>
      <c r="P102" s="5" t="s">
        <v>167</v>
      </c>
      <c r="Q102" s="5" t="s">
        <v>100</v>
      </c>
      <c r="R102" s="5" t="s">
        <v>714</v>
      </c>
      <c r="S102" s="5" t="s">
        <v>715</v>
      </c>
    </row>
    <row r="103" customFormat="false" ht="15" hidden="false" customHeight="false" outlineLevel="0" collapsed="false">
      <c r="A103" s="11" t="s">
        <v>436</v>
      </c>
      <c r="B103" s="11" t="s">
        <v>405</v>
      </c>
      <c r="C103" s="11" t="s">
        <v>119</v>
      </c>
      <c r="D103" s="11" t="s">
        <v>96</v>
      </c>
      <c r="E103" s="12" t="n">
        <v>2973</v>
      </c>
      <c r="F103" s="11" t="s">
        <v>97</v>
      </c>
      <c r="G103" s="11" t="n">
        <v>2023</v>
      </c>
      <c r="H103" s="11" t="s">
        <v>111</v>
      </c>
      <c r="I103" s="13" t="n">
        <v>45110</v>
      </c>
      <c r="J103" s="13" t="n">
        <v>45476</v>
      </c>
      <c r="K103" s="11" t="str">
        <f aca="true">IF(J103="","",IF(J103&gt;=TODAY(),"Vigente","Encerrado"))</f>
        <v>Encerrado</v>
      </c>
      <c r="L103" s="14" t="n">
        <f aca="false">IF(OR(I103="",J103=""),"",ROUND((J103-I103)/30.44,1))</f>
        <v>12</v>
      </c>
      <c r="M103" s="15" t="n">
        <v>14400</v>
      </c>
      <c r="N103" s="15" t="n">
        <f aca="false">IF(OR(L103="",L103=0,M103=""),"",M103/L103)</f>
        <v>1200</v>
      </c>
      <c r="O103" s="16" t="n">
        <f aca="false">IF(OR(E103=0,N103=""),"",N103*12/E103)</f>
        <v>4.84359233097881</v>
      </c>
      <c r="P103" s="11" t="s">
        <v>167</v>
      </c>
      <c r="Q103" s="11" t="s">
        <v>100</v>
      </c>
      <c r="R103" s="11" t="s">
        <v>716</v>
      </c>
      <c r="S103" s="11" t="s">
        <v>717</v>
      </c>
    </row>
    <row r="104" customFormat="false" ht="15" hidden="false" customHeight="false" outlineLevel="0" collapsed="false">
      <c r="A104" s="5" t="s">
        <v>718</v>
      </c>
      <c r="B104" s="5" t="s">
        <v>405</v>
      </c>
      <c r="C104" s="5" t="s">
        <v>719</v>
      </c>
      <c r="D104" s="5" t="s">
        <v>96</v>
      </c>
      <c r="E104" s="6" t="n">
        <v>4478</v>
      </c>
      <c r="F104" s="5" t="s">
        <v>97</v>
      </c>
      <c r="G104" s="5" t="n">
        <v>2023</v>
      </c>
      <c r="H104" s="5" t="s">
        <v>111</v>
      </c>
      <c r="I104" s="7" t="n">
        <v>44939</v>
      </c>
      <c r="J104" s="7" t="n">
        <v>45291</v>
      </c>
      <c r="K104" s="5" t="str">
        <f aca="true">IF(J104="","",IF(J104&gt;=TODAY(),"Vigente","Encerrado"))</f>
        <v>Encerrado</v>
      </c>
      <c r="L104" s="8" t="n">
        <f aca="false">IF(OR(I104="",J104=""),"",ROUND((J104-I104)/30.44,1))</f>
        <v>11.6</v>
      </c>
      <c r="M104" s="9" t="n">
        <v>12600</v>
      </c>
      <c r="N104" s="9" t="n">
        <f aca="false">IF(OR(L104="",L104=0,M104=""),"",M104/L104)</f>
        <v>1086.20689655172</v>
      </c>
      <c r="O104" s="10" t="n">
        <f aca="false">IF(OR(E104=0,N104=""),"",N104*12/E104)</f>
        <v>2.91078221496666</v>
      </c>
      <c r="P104" s="5" t="s">
        <v>167</v>
      </c>
      <c r="Q104" s="5" t="s">
        <v>100</v>
      </c>
      <c r="R104" s="5" t="s">
        <v>720</v>
      </c>
      <c r="S104" s="5" t="s">
        <v>721</v>
      </c>
    </row>
    <row r="105" customFormat="false" ht="15" hidden="false" customHeight="false" outlineLevel="0" collapsed="false">
      <c r="A105" s="11" t="s">
        <v>539</v>
      </c>
      <c r="B105" s="11" t="s">
        <v>405</v>
      </c>
      <c r="C105" s="11" t="s">
        <v>391</v>
      </c>
      <c r="D105" s="11" t="s">
        <v>96</v>
      </c>
      <c r="E105" s="12" t="n">
        <v>44150</v>
      </c>
      <c r="F105" s="11" t="s">
        <v>105</v>
      </c>
      <c r="G105" s="11" t="n">
        <v>2026</v>
      </c>
      <c r="H105" s="11" t="s">
        <v>111</v>
      </c>
      <c r="I105" s="13" t="n">
        <v>46036</v>
      </c>
      <c r="J105" s="13" t="n">
        <v>46387</v>
      </c>
      <c r="K105" s="11" t="str">
        <f aca="true">IF(J105="","",IF(J105&gt;=TODAY(),"Vigente","Encerrado"))</f>
        <v>Vigente</v>
      </c>
      <c r="L105" s="14" t="n">
        <f aca="false">IF(OR(I105="",J105=""),"",ROUND((J105-I105)/30.44,1))</f>
        <v>11.5</v>
      </c>
      <c r="M105" s="15" t="n">
        <v>37500</v>
      </c>
      <c r="N105" s="15" t="n">
        <f aca="false">IF(OR(L105="",L105=0,M105=""),"",M105/L105)</f>
        <v>3260.86956521739</v>
      </c>
      <c r="O105" s="16" t="n">
        <f aca="false">IF(OR(E105=0,N105=""),"",N105*12/E105)</f>
        <v>0.886306563592496</v>
      </c>
      <c r="P105" s="11" t="s">
        <v>167</v>
      </c>
      <c r="Q105" s="11" t="s">
        <v>100</v>
      </c>
      <c r="R105" s="11" t="s">
        <v>722</v>
      </c>
      <c r="S105" s="11" t="s">
        <v>723</v>
      </c>
    </row>
    <row r="106" customFormat="false" ht="15" hidden="false" customHeight="false" outlineLevel="0" collapsed="false">
      <c r="A106" s="5" t="s">
        <v>539</v>
      </c>
      <c r="B106" s="5" t="s">
        <v>405</v>
      </c>
      <c r="C106" s="5" t="s">
        <v>391</v>
      </c>
      <c r="D106" s="5" t="s">
        <v>96</v>
      </c>
      <c r="E106" s="6" t="n">
        <v>44150</v>
      </c>
      <c r="F106" s="5" t="s">
        <v>105</v>
      </c>
      <c r="G106" s="5" t="n">
        <v>2025</v>
      </c>
      <c r="H106" s="5" t="s">
        <v>111</v>
      </c>
      <c r="I106" s="7" t="n">
        <v>45666</v>
      </c>
      <c r="J106" s="7" t="n">
        <v>46022</v>
      </c>
      <c r="K106" s="5" t="str">
        <f aca="true">IF(J106="","",IF(J106&gt;=TODAY(),"Vigente","Encerrado"))</f>
        <v>Encerrado</v>
      </c>
      <c r="L106" s="8" t="n">
        <f aca="false">IF(OR(I106="",J106=""),"",ROUND((J106-I106)/30.44,1))</f>
        <v>11.7</v>
      </c>
      <c r="M106" s="9" t="n">
        <v>30000</v>
      </c>
      <c r="N106" s="9" t="n">
        <f aca="false">IF(OR(L106="",L106=0,M106=""),"",M106/L106)</f>
        <v>2564.10256410256</v>
      </c>
      <c r="O106" s="10" t="n">
        <f aca="false">IF(OR(E106=0,N106=""),"",N106*12/E106)</f>
        <v>0.696924819235125</v>
      </c>
      <c r="P106" s="5" t="s">
        <v>167</v>
      </c>
      <c r="Q106" s="5" t="s">
        <v>100</v>
      </c>
      <c r="R106" s="5" t="s">
        <v>540</v>
      </c>
      <c r="S106" s="5" t="s">
        <v>724</v>
      </c>
    </row>
    <row r="107" customFormat="false" ht="15" hidden="false" customHeight="false" outlineLevel="0" collapsed="false">
      <c r="A107" s="11" t="s">
        <v>725</v>
      </c>
      <c r="B107" s="11" t="s">
        <v>405</v>
      </c>
      <c r="C107" s="11" t="s">
        <v>726</v>
      </c>
      <c r="D107" s="11" t="s">
        <v>96</v>
      </c>
      <c r="E107" s="12" t="n">
        <v>15476</v>
      </c>
      <c r="F107" s="11" t="s">
        <v>97</v>
      </c>
      <c r="G107" s="11" t="n">
        <v>2025</v>
      </c>
      <c r="H107" s="11" t="s">
        <v>111</v>
      </c>
      <c r="I107" s="13" t="n">
        <v>45811</v>
      </c>
      <c r="J107" s="13" t="n">
        <v>46022</v>
      </c>
      <c r="K107" s="11" t="str">
        <f aca="true">IF(J107="","",IF(J107&gt;=TODAY(),"Vigente","Encerrado"))</f>
        <v>Encerrado</v>
      </c>
      <c r="L107" s="14" t="n">
        <f aca="false">IF(OR(I107="",J107=""),"",ROUND((J107-I107)/30.44,1))</f>
        <v>6.9</v>
      </c>
      <c r="M107" s="15" t="n">
        <v>14000</v>
      </c>
      <c r="N107" s="15" t="n">
        <f aca="false">IF(OR(L107="",L107=0,M107=""),"",M107/L107)</f>
        <v>2028.98550724638</v>
      </c>
      <c r="O107" s="16" t="n">
        <f aca="false">IF(OR(E107=0,N107=""),"",N107*12/E107)</f>
        <v>1.5732635104004</v>
      </c>
      <c r="P107" s="11" t="s">
        <v>167</v>
      </c>
      <c r="Q107" s="11" t="s">
        <v>100</v>
      </c>
      <c r="R107" s="11" t="s">
        <v>727</v>
      </c>
      <c r="S107" s="11" t="s">
        <v>728</v>
      </c>
    </row>
    <row r="108" customFormat="false" ht="15" hidden="false" customHeight="false" outlineLevel="0" collapsed="false">
      <c r="A108" s="5" t="s">
        <v>729</v>
      </c>
      <c r="B108" s="5" t="s">
        <v>405</v>
      </c>
      <c r="C108" s="5" t="s">
        <v>397</v>
      </c>
      <c r="D108" s="5" t="s">
        <v>96</v>
      </c>
      <c r="E108" s="6" t="n">
        <v>9077</v>
      </c>
      <c r="F108" s="5" t="s">
        <v>97</v>
      </c>
      <c r="G108" s="5" t="n">
        <v>2025</v>
      </c>
      <c r="H108" s="5" t="s">
        <v>111</v>
      </c>
      <c r="I108" s="7" t="n">
        <v>45664</v>
      </c>
      <c r="J108" s="7" t="n">
        <v>46022</v>
      </c>
      <c r="K108" s="5" t="str">
        <f aca="true">IF(J108="","",IF(J108&gt;=TODAY(),"Vigente","Encerrado"))</f>
        <v>Encerrado</v>
      </c>
      <c r="L108" s="8" t="n">
        <f aca="false">IF(OR(I108="",J108=""),"",ROUND((J108-I108)/30.44,1))</f>
        <v>11.8</v>
      </c>
      <c r="M108" s="9" t="n">
        <v>14400</v>
      </c>
      <c r="N108" s="9" t="n">
        <f aca="false">IF(OR(L108="",L108=0,M108=""),"",M108/L108)</f>
        <v>1220.33898305085</v>
      </c>
      <c r="O108" s="10" t="n">
        <f aca="false">IF(OR(E108=0,N108=""),"",N108*12/E108)</f>
        <v>1.61331583084832</v>
      </c>
      <c r="P108" s="5" t="s">
        <v>167</v>
      </c>
      <c r="Q108" s="5" t="s">
        <v>100</v>
      </c>
      <c r="R108" s="5" t="s">
        <v>730</v>
      </c>
      <c r="S108" s="5" t="s">
        <v>731</v>
      </c>
    </row>
    <row r="109" customFormat="false" ht="15" hidden="false" customHeight="false" outlineLevel="0" collapsed="false">
      <c r="A109" s="11" t="s">
        <v>732</v>
      </c>
      <c r="B109" s="11" t="s">
        <v>405</v>
      </c>
      <c r="C109" s="11" t="s">
        <v>733</v>
      </c>
      <c r="D109" s="11" t="s">
        <v>96</v>
      </c>
      <c r="E109" s="12" t="n">
        <v>1856</v>
      </c>
      <c r="F109" s="11" t="s">
        <v>97</v>
      </c>
      <c r="G109" s="11" t="n">
        <v>2025</v>
      </c>
      <c r="H109" s="11" t="s">
        <v>111</v>
      </c>
      <c r="I109" s="13" t="n">
        <v>45659</v>
      </c>
      <c r="J109" s="13" t="n">
        <v>46022</v>
      </c>
      <c r="K109" s="11" t="str">
        <f aca="true">IF(J109="","",IF(J109&gt;=TODAY(),"Vigente","Encerrado"))</f>
        <v>Encerrado</v>
      </c>
      <c r="L109" s="14" t="n">
        <f aca="false">IF(OR(I109="",J109=""),"",ROUND((J109-I109)/30.44,1))</f>
        <v>11.9</v>
      </c>
      <c r="M109" s="15" t="n">
        <v>15600</v>
      </c>
      <c r="N109" s="15" t="n">
        <f aca="false">IF(OR(L109="",L109=0,M109=""),"",M109/L109)</f>
        <v>1310.9243697479</v>
      </c>
      <c r="O109" s="16" t="n">
        <f aca="false">IF(OR(E109=0,N109=""),"",N109*12/E109)</f>
        <v>8.47580411474935</v>
      </c>
      <c r="P109" s="11" t="s">
        <v>167</v>
      </c>
      <c r="Q109" s="11" t="s">
        <v>100</v>
      </c>
      <c r="R109" s="11" t="s">
        <v>734</v>
      </c>
      <c r="S109" s="11" t="s">
        <v>735</v>
      </c>
    </row>
    <row r="110" customFormat="false" ht="15" hidden="false" customHeight="false" outlineLevel="0" collapsed="false">
      <c r="A110" s="5" t="s">
        <v>732</v>
      </c>
      <c r="B110" s="5" t="s">
        <v>405</v>
      </c>
      <c r="C110" s="5" t="s">
        <v>733</v>
      </c>
      <c r="D110" s="5" t="s">
        <v>96</v>
      </c>
      <c r="E110" s="6" t="n">
        <v>1856</v>
      </c>
      <c r="F110" s="5" t="s">
        <v>97</v>
      </c>
      <c r="G110" s="5" t="n">
        <v>2024</v>
      </c>
      <c r="H110" s="5" t="s">
        <v>111</v>
      </c>
      <c r="I110" s="7" t="n">
        <v>45293</v>
      </c>
      <c r="J110" s="7" t="n">
        <v>45657</v>
      </c>
      <c r="K110" s="5" t="str">
        <f aca="true">IF(J110="","",IF(J110&gt;=TODAY(),"Vigente","Encerrado"))</f>
        <v>Encerrado</v>
      </c>
      <c r="L110" s="8" t="n">
        <f aca="false">IF(OR(I110="",J110=""),"",ROUND((J110-I110)/30.44,1))</f>
        <v>12</v>
      </c>
      <c r="M110" s="9" t="n">
        <v>13200</v>
      </c>
      <c r="N110" s="9" t="n">
        <f aca="false">IF(OR(L110="",L110=0,M110=""),"",M110/L110)</f>
        <v>1100</v>
      </c>
      <c r="O110" s="10" t="n">
        <f aca="false">IF(OR(E110=0,N110=""),"",N110*12/E110)</f>
        <v>7.11206896551724</v>
      </c>
      <c r="P110" s="5" t="s">
        <v>167</v>
      </c>
      <c r="Q110" s="5" t="s">
        <v>100</v>
      </c>
      <c r="R110" s="5" t="s">
        <v>736</v>
      </c>
      <c r="S110" s="5" t="s">
        <v>737</v>
      </c>
    </row>
  </sheetData>
  <autoFilter ref="A1:S110"/>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738</v>
      </c>
      <c r="B2" s="5" t="s">
        <v>739</v>
      </c>
      <c r="C2" s="5" t="s">
        <v>740</v>
      </c>
      <c r="D2" s="5" t="s">
        <v>96</v>
      </c>
      <c r="E2" s="6" t="n">
        <v>35031</v>
      </c>
      <c r="F2" s="5" t="s">
        <v>105</v>
      </c>
      <c r="G2" s="5" t="n">
        <v>2025</v>
      </c>
      <c r="H2" s="5" t="s">
        <v>111</v>
      </c>
      <c r="I2" s="7" t="n">
        <v>45919</v>
      </c>
      <c r="J2" s="7" t="n">
        <v>46022</v>
      </c>
      <c r="K2" s="5" t="str">
        <f aca="true">IF(J2="","",IF(J2&gt;=TODAY(),"Vigente","Encerrado"))</f>
        <v>Encerrado</v>
      </c>
      <c r="L2" s="8" t="n">
        <f aca="false">IF(OR(I2="",J2=""),"",ROUND((J2-I2)/30.44,1))</f>
        <v>3.4</v>
      </c>
      <c r="M2" s="9" t="n">
        <v>18000</v>
      </c>
      <c r="N2" s="9" t="n">
        <f aca="false">IF(OR(L2="",L2=0,M2=""),"",M2/L2)</f>
        <v>5294.11764705882</v>
      </c>
      <c r="O2" s="10" t="n">
        <f aca="false">IF(OR(E2=0,N2=""),"",N2*12/E2)</f>
        <v>1.81351979003471</v>
      </c>
      <c r="P2" s="5" t="s">
        <v>99</v>
      </c>
      <c r="Q2" s="5" t="s">
        <v>100</v>
      </c>
      <c r="R2" s="5" t="s">
        <v>741</v>
      </c>
      <c r="S2" s="5" t="s">
        <v>742</v>
      </c>
    </row>
    <row r="3" customFormat="false" ht="15" hidden="false" customHeight="false" outlineLevel="0" collapsed="false">
      <c r="A3" s="11" t="s">
        <v>743</v>
      </c>
      <c r="B3" s="11" t="s">
        <v>744</v>
      </c>
      <c r="C3" s="11" t="s">
        <v>547</v>
      </c>
      <c r="D3" s="11" t="s">
        <v>96</v>
      </c>
      <c r="E3" s="12" t="n">
        <v>28009</v>
      </c>
      <c r="F3" s="11" t="s">
        <v>105</v>
      </c>
      <c r="G3" s="11" t="n">
        <v>2025</v>
      </c>
      <c r="H3" s="11" t="s">
        <v>111</v>
      </c>
      <c r="I3" s="13" t="n">
        <v>45673</v>
      </c>
      <c r="J3" s="13" t="n">
        <v>46022</v>
      </c>
      <c r="K3" s="11" t="str">
        <f aca="true">IF(J3="","",IF(J3&gt;=TODAY(),"Vigente","Encerrado"))</f>
        <v>Encerrado</v>
      </c>
      <c r="L3" s="14" t="n">
        <f aca="false">IF(OR(I3="",J3=""),"",ROUND((J3-I3)/30.44,1))</f>
        <v>11.5</v>
      </c>
      <c r="M3" s="15" t="n">
        <v>18600</v>
      </c>
      <c r="N3" s="15" t="n">
        <f aca="false">IF(OR(L3="",L3=0,M3=""),"",M3/L3)</f>
        <v>1617.39130434783</v>
      </c>
      <c r="O3" s="16" t="n">
        <f aca="false">IF(OR(E3=0,N3=""),"",N3*12/E3)</f>
        <v>0.692944969551712</v>
      </c>
      <c r="P3" s="11" t="s">
        <v>167</v>
      </c>
      <c r="Q3" s="11" t="s">
        <v>100</v>
      </c>
      <c r="R3" s="11" t="s">
        <v>745</v>
      </c>
      <c r="S3" s="11" t="s">
        <v>746</v>
      </c>
    </row>
    <row r="4" customFormat="false" ht="15" hidden="false" customHeight="false" outlineLevel="0" collapsed="false">
      <c r="A4" s="5" t="s">
        <v>747</v>
      </c>
      <c r="B4" s="5" t="s">
        <v>744</v>
      </c>
      <c r="C4" s="5" t="s">
        <v>748</v>
      </c>
      <c r="D4" s="5" t="s">
        <v>96</v>
      </c>
      <c r="E4" s="6" t="n">
        <v>2970</v>
      </c>
      <c r="F4" s="5" t="s">
        <v>97</v>
      </c>
      <c r="G4" s="5" t="n">
        <v>2025</v>
      </c>
      <c r="H4" s="5" t="s">
        <v>111</v>
      </c>
      <c r="I4" s="7" t="n">
        <v>45678</v>
      </c>
      <c r="J4" s="7" t="n">
        <v>46022</v>
      </c>
      <c r="K4" s="5" t="str">
        <f aca="true">IF(J4="","",IF(J4&gt;=TODAY(),"Vigente","Encerrado"))</f>
        <v>Encerrado</v>
      </c>
      <c r="L4" s="8" t="n">
        <f aca="false">IF(OR(I4="",J4=""),"",ROUND((J4-I4)/30.44,1))</f>
        <v>11.3</v>
      </c>
      <c r="M4" s="9" t="n">
        <v>18000</v>
      </c>
      <c r="N4" s="9" t="n">
        <f aca="false">IF(OR(L4="",L4=0,M4=""),"",M4/L4)</f>
        <v>1592.9203539823</v>
      </c>
      <c r="O4" s="10" t="n">
        <f aca="false">IF(OR(E4=0,N4=""),"",N4*12/E4)</f>
        <v>6.43604183427192</v>
      </c>
      <c r="P4" s="5" t="s">
        <v>167</v>
      </c>
      <c r="Q4" s="5" t="s">
        <v>100</v>
      </c>
      <c r="R4" s="5" t="s">
        <v>749</v>
      </c>
      <c r="S4" s="5" t="s">
        <v>750</v>
      </c>
    </row>
  </sheetData>
  <autoFilter ref="A1:S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1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751</v>
      </c>
      <c r="B2" s="5" t="s">
        <v>94</v>
      </c>
      <c r="C2" s="5" t="s">
        <v>752</v>
      </c>
      <c r="D2" s="5" t="s">
        <v>753</v>
      </c>
      <c r="E2" s="6" t="n">
        <v>179120</v>
      </c>
      <c r="F2" s="5" t="s">
        <v>592</v>
      </c>
      <c r="G2" s="5" t="n">
        <v>2024</v>
      </c>
      <c r="H2" s="5" t="s">
        <v>106</v>
      </c>
      <c r="I2" s="7" t="n">
        <v>45532</v>
      </c>
      <c r="J2" s="7" t="n">
        <v>47357</v>
      </c>
      <c r="K2" s="5" t="str">
        <f aca="true">IF(J2="","",IF(J2&gt;=TODAY(),"Vigente","Encerrado"))</f>
        <v>Vigente</v>
      </c>
      <c r="L2" s="8" t="n">
        <f aca="false">IF(OR(I2="",J2=""),"",ROUND((J2-I2)/30.44,1))</f>
        <v>60</v>
      </c>
      <c r="M2" s="9" t="n">
        <v>8207972.81</v>
      </c>
      <c r="N2" s="9" t="n">
        <f aca="false">IF(OR(L2="",L2=0,M2=""),"",M2/L2)</f>
        <v>136799.546833333</v>
      </c>
      <c r="O2" s="10" t="n">
        <f aca="false">IF(OR(E2=0,N2=""),"",N2*12/E2)</f>
        <v>9.16477535730237</v>
      </c>
      <c r="P2" s="5" t="s">
        <v>754</v>
      </c>
      <c r="Q2" s="5" t="s">
        <v>100</v>
      </c>
      <c r="R2" s="5" t="s">
        <v>755</v>
      </c>
      <c r="S2" s="5" t="s">
        <v>756</v>
      </c>
    </row>
    <row r="3" customFormat="false" ht="15" hidden="false" customHeight="false" outlineLevel="0" collapsed="false">
      <c r="A3" s="11" t="s">
        <v>757</v>
      </c>
      <c r="B3" s="11" t="s">
        <v>94</v>
      </c>
      <c r="C3" s="11" t="s">
        <v>758</v>
      </c>
      <c r="D3" s="11" t="s">
        <v>96</v>
      </c>
      <c r="E3" s="12" t="n">
        <v>550925</v>
      </c>
      <c r="F3" s="11" t="s">
        <v>759</v>
      </c>
      <c r="G3" s="11" t="n">
        <v>2024</v>
      </c>
      <c r="H3" s="11" t="s">
        <v>634</v>
      </c>
      <c r="I3" s="13" t="n">
        <v>45310</v>
      </c>
      <c r="J3" s="13" t="n">
        <v>45676</v>
      </c>
      <c r="K3" s="11" t="str">
        <f aca="true">IF(J3="","",IF(J3&gt;=TODAY(),"Vigente","Encerrado"))</f>
        <v>Encerrado</v>
      </c>
      <c r="L3" s="14" t="n">
        <f aca="false">IF(OR(I3="",J3=""),"",ROUND((J3-I3)/30.44,1))</f>
        <v>12</v>
      </c>
      <c r="M3" s="15" t="n">
        <v>1500000</v>
      </c>
      <c r="N3" s="15" t="n">
        <f aca="false">IF(OR(L3="",L3=0,M3=""),"",M3/L3)</f>
        <v>125000</v>
      </c>
      <c r="O3" s="16" t="n">
        <f aca="false">IF(OR(E3=0,N3=""),"",N3*12/E3)</f>
        <v>2.72269365158597</v>
      </c>
      <c r="P3" s="11" t="s">
        <v>754</v>
      </c>
      <c r="Q3" s="11" t="s">
        <v>100</v>
      </c>
      <c r="R3" s="11" t="s">
        <v>760</v>
      </c>
      <c r="S3" s="11" t="s">
        <v>761</v>
      </c>
    </row>
    <row r="4" customFormat="false" ht="15" hidden="false" customHeight="false" outlineLevel="0" collapsed="false">
      <c r="A4" s="5" t="s">
        <v>762</v>
      </c>
      <c r="B4" s="5" t="s">
        <v>94</v>
      </c>
      <c r="C4" s="5" t="s">
        <v>763</v>
      </c>
      <c r="D4" s="5" t="s">
        <v>96</v>
      </c>
      <c r="E4" s="6" t="n">
        <v>24701</v>
      </c>
      <c r="F4" s="5" t="s">
        <v>105</v>
      </c>
      <c r="G4" s="5" t="n">
        <v>2025</v>
      </c>
      <c r="H4" s="5" t="s">
        <v>106</v>
      </c>
      <c r="I4" s="7" t="n">
        <v>45839</v>
      </c>
      <c r="J4" s="7" t="n">
        <v>46022</v>
      </c>
      <c r="K4" s="5" t="str">
        <f aca="true">IF(J4="","",IF(J4&gt;=TODAY(),"Vigente","Encerrado"))</f>
        <v>Encerrado</v>
      </c>
      <c r="L4" s="8" t="n">
        <f aca="false">IF(OR(I4="",J4=""),"",ROUND((J4-I4)/30.44,1))</f>
        <v>6</v>
      </c>
      <c r="M4" s="9" t="n">
        <v>72000</v>
      </c>
      <c r="N4" s="9" t="n">
        <f aca="false">IF(OR(L4="",L4=0,M4=""),"",M4/L4)</f>
        <v>12000</v>
      </c>
      <c r="O4" s="10" t="n">
        <f aca="false">IF(OR(E4=0,N4=""),"",N4*12/E4)</f>
        <v>5.82972349297599</v>
      </c>
      <c r="P4" s="5" t="s">
        <v>754</v>
      </c>
      <c r="Q4" s="5" t="s">
        <v>100</v>
      </c>
      <c r="R4" s="5" t="s">
        <v>764</v>
      </c>
      <c r="S4" s="5" t="s">
        <v>765</v>
      </c>
    </row>
    <row r="5" customFormat="false" ht="15" hidden="false" customHeight="false" outlineLevel="0" collapsed="false">
      <c r="A5" s="11" t="s">
        <v>762</v>
      </c>
      <c r="B5" s="11" t="s">
        <v>94</v>
      </c>
      <c r="C5" s="11" t="s">
        <v>763</v>
      </c>
      <c r="D5" s="11" t="s">
        <v>96</v>
      </c>
      <c r="E5" s="12" t="n">
        <v>24701</v>
      </c>
      <c r="F5" s="11" t="s">
        <v>105</v>
      </c>
      <c r="G5" s="11" t="n">
        <v>2025</v>
      </c>
      <c r="H5" s="11" t="s">
        <v>111</v>
      </c>
      <c r="I5" s="13" t="n">
        <v>45660</v>
      </c>
      <c r="J5" s="13" t="n">
        <v>45841</v>
      </c>
      <c r="K5" s="11" t="str">
        <f aca="true">IF(J5="","",IF(J5&gt;=TODAY(),"Vigente","Encerrado"))</f>
        <v>Encerrado</v>
      </c>
      <c r="L5" s="14" t="n">
        <f aca="false">IF(OR(I5="",J5=""),"",ROUND((J5-I5)/30.44,1))</f>
        <v>5.9</v>
      </c>
      <c r="M5" s="15" t="n">
        <v>72000</v>
      </c>
      <c r="N5" s="15" t="n">
        <f aca="false">IF(OR(L5="",L5=0,M5=""),"",M5/L5)</f>
        <v>12203.3898305085</v>
      </c>
      <c r="O5" s="16" t="n">
        <f aca="false">IF(OR(E5=0,N5=""),"",N5*12/E5)</f>
        <v>5.9285323657383</v>
      </c>
      <c r="P5" s="11" t="s">
        <v>754</v>
      </c>
      <c r="Q5" s="11" t="s">
        <v>100</v>
      </c>
      <c r="R5" s="11" t="s">
        <v>766</v>
      </c>
      <c r="S5" s="11" t="s">
        <v>767</v>
      </c>
    </row>
    <row r="6" customFormat="false" ht="15" hidden="false" customHeight="false" outlineLevel="0" collapsed="false">
      <c r="A6" s="5" t="s">
        <v>768</v>
      </c>
      <c r="B6" s="5" t="s">
        <v>94</v>
      </c>
      <c r="C6" s="5" t="s">
        <v>769</v>
      </c>
      <c r="D6" s="5" t="s">
        <v>96</v>
      </c>
      <c r="E6" s="6" t="n">
        <v>22484</v>
      </c>
      <c r="F6" s="5" t="s">
        <v>105</v>
      </c>
      <c r="G6" s="5" t="n">
        <v>2026</v>
      </c>
      <c r="H6" s="5" t="s">
        <v>106</v>
      </c>
      <c r="I6" s="7" t="n">
        <v>46143</v>
      </c>
      <c r="J6" s="7" t="n">
        <v>46387</v>
      </c>
      <c r="K6" s="5" t="str">
        <f aca="true">IF(J6="","",IF(J6&gt;=TODAY(),"Vigente","Encerrado"))</f>
        <v>Vigente</v>
      </c>
      <c r="L6" s="8" t="n">
        <f aca="false">IF(OR(I6="",J6=""),"",ROUND((J6-I6)/30.44,1))</f>
        <v>8</v>
      </c>
      <c r="M6" s="9" t="n">
        <v>186666.64</v>
      </c>
      <c r="N6" s="9" t="n">
        <f aca="false">IF(OR(L6="",L6=0,M6=""),"",M6/L6)</f>
        <v>23333.33</v>
      </c>
      <c r="O6" s="10" t="n">
        <f aca="false">IF(OR(E6=0,N6=""),"",N6*12/E6)</f>
        <v>12.4532983454901</v>
      </c>
      <c r="P6" s="5" t="s">
        <v>754</v>
      </c>
      <c r="Q6" s="5" t="s">
        <v>100</v>
      </c>
      <c r="R6" s="5" t="s">
        <v>770</v>
      </c>
      <c r="S6" s="5" t="s">
        <v>771</v>
      </c>
    </row>
    <row r="7" customFormat="false" ht="15" hidden="false" customHeight="false" outlineLevel="0" collapsed="false">
      <c r="A7" s="11" t="s">
        <v>772</v>
      </c>
      <c r="B7" s="11" t="s">
        <v>94</v>
      </c>
      <c r="C7" s="11" t="s">
        <v>773</v>
      </c>
      <c r="D7" s="11" t="s">
        <v>96</v>
      </c>
      <c r="E7" s="12" t="n">
        <v>98963</v>
      </c>
      <c r="F7" s="11" t="s">
        <v>105</v>
      </c>
      <c r="G7" s="11" t="n">
        <v>2025</v>
      </c>
      <c r="H7" s="11" t="s">
        <v>106</v>
      </c>
      <c r="I7" s="13" t="n">
        <v>45987</v>
      </c>
      <c r="J7" s="13" t="n">
        <v>46352</v>
      </c>
      <c r="K7" s="11" t="str">
        <f aca="true">IF(J7="","",IF(J7&gt;=TODAY(),"Vigente","Encerrado"))</f>
        <v>Vigente</v>
      </c>
      <c r="L7" s="14" t="n">
        <f aca="false">IF(OR(I7="",J7=""),"",ROUND((J7-I7)/30.44,1))</f>
        <v>12</v>
      </c>
      <c r="M7" s="15" t="n">
        <v>441349.97</v>
      </c>
      <c r="N7" s="15" t="n">
        <f aca="false">IF(OR(L7="",L7=0,M7=""),"",M7/L7)</f>
        <v>36779.1641666667</v>
      </c>
      <c r="O7" s="16" t="n">
        <f aca="false">IF(OR(E7=0,N7=""),"",N7*12/E7)</f>
        <v>4.4597472792862</v>
      </c>
      <c r="P7" s="11" t="s">
        <v>754</v>
      </c>
      <c r="Q7" s="11" t="s">
        <v>100</v>
      </c>
      <c r="R7" s="11" t="s">
        <v>774</v>
      </c>
      <c r="S7" s="11" t="s">
        <v>775</v>
      </c>
    </row>
    <row r="8" customFormat="false" ht="15" hidden="false" customHeight="false" outlineLevel="0" collapsed="false">
      <c r="A8" s="5" t="s">
        <v>772</v>
      </c>
      <c r="B8" s="5" t="s">
        <v>94</v>
      </c>
      <c r="C8" s="5" t="s">
        <v>773</v>
      </c>
      <c r="D8" s="5" t="s">
        <v>96</v>
      </c>
      <c r="E8" s="6" t="n">
        <v>98963</v>
      </c>
      <c r="F8" s="5" t="s">
        <v>105</v>
      </c>
      <c r="G8" s="5" t="n">
        <v>2025</v>
      </c>
      <c r="H8" s="5" t="s">
        <v>106</v>
      </c>
      <c r="I8" s="7" t="n">
        <v>45987</v>
      </c>
      <c r="J8" s="7" t="n">
        <v>46352</v>
      </c>
      <c r="K8" s="5" t="str">
        <f aca="true">IF(J8="","",IF(J8&gt;=TODAY(),"Vigente","Encerrado"))</f>
        <v>Vigente</v>
      </c>
      <c r="L8" s="8" t="n">
        <f aca="false">IF(OR(I8="",J8=""),"",ROUND((J8-I8)/30.44,1))</f>
        <v>12</v>
      </c>
      <c r="M8" s="9" t="n">
        <v>135799.99</v>
      </c>
      <c r="N8" s="9" t="n">
        <f aca="false">IF(OR(L8="",L8=0,M8=""),"",M8/L8)</f>
        <v>11316.6658333333</v>
      </c>
      <c r="O8" s="10" t="n">
        <f aca="false">IF(OR(E8=0,N8=""),"",N8*12/E8)</f>
        <v>1.37222992431515</v>
      </c>
      <c r="P8" s="5" t="s">
        <v>754</v>
      </c>
      <c r="Q8" s="5" t="s">
        <v>100</v>
      </c>
      <c r="R8" s="5" t="s">
        <v>774</v>
      </c>
      <c r="S8" s="5" t="s">
        <v>776</v>
      </c>
    </row>
    <row r="9" customFormat="false" ht="15" hidden="false" customHeight="false" outlineLevel="0" collapsed="false">
      <c r="A9" s="11" t="s">
        <v>772</v>
      </c>
      <c r="B9" s="11" t="s">
        <v>94</v>
      </c>
      <c r="C9" s="11" t="s">
        <v>773</v>
      </c>
      <c r="D9" s="11" t="s">
        <v>96</v>
      </c>
      <c r="E9" s="12" t="n">
        <v>98963</v>
      </c>
      <c r="F9" s="11" t="s">
        <v>105</v>
      </c>
      <c r="G9" s="11" t="n">
        <v>2025</v>
      </c>
      <c r="H9" s="11" t="s">
        <v>106</v>
      </c>
      <c r="I9" s="13" t="n">
        <v>45986</v>
      </c>
      <c r="J9" s="13" t="n">
        <v>46351</v>
      </c>
      <c r="K9" s="11" t="str">
        <f aca="true">IF(J9="","",IF(J9&gt;=TODAY(),"Vigente","Encerrado"))</f>
        <v>Vigente</v>
      </c>
      <c r="L9" s="14" t="n">
        <f aca="false">IF(OR(I9="",J9=""),"",ROUND((J9-I9)/30.44,1))</f>
        <v>12</v>
      </c>
      <c r="M9" s="15" t="n">
        <v>135799.99</v>
      </c>
      <c r="N9" s="15" t="n">
        <f aca="false">IF(OR(L9="",L9=0,M9=""),"",M9/L9)</f>
        <v>11316.6658333333</v>
      </c>
      <c r="O9" s="16" t="n">
        <f aca="false">IF(OR(E9=0,N9=""),"",N9*12/E9)</f>
        <v>1.37222992431515</v>
      </c>
      <c r="P9" s="11" t="s">
        <v>754</v>
      </c>
      <c r="Q9" s="11" t="s">
        <v>100</v>
      </c>
      <c r="R9" s="11" t="s">
        <v>774</v>
      </c>
      <c r="S9" s="11" t="s">
        <v>777</v>
      </c>
    </row>
    <row r="10" customFormat="false" ht="15" hidden="false" customHeight="false" outlineLevel="0" collapsed="false">
      <c r="A10" s="5" t="s">
        <v>778</v>
      </c>
      <c r="B10" s="5" t="s">
        <v>94</v>
      </c>
      <c r="C10" s="5" t="s">
        <v>779</v>
      </c>
      <c r="D10" s="5" t="s">
        <v>96</v>
      </c>
      <c r="E10" s="6" t="n">
        <v>120478</v>
      </c>
      <c r="F10" s="5" t="s">
        <v>592</v>
      </c>
      <c r="G10" s="5" t="n">
        <v>2026</v>
      </c>
      <c r="H10" s="5" t="s">
        <v>106</v>
      </c>
      <c r="I10" s="7" t="n">
        <v>46102</v>
      </c>
      <c r="J10" s="7" t="n">
        <v>46467</v>
      </c>
      <c r="K10" s="5" t="str">
        <f aca="true">IF(J10="","",IF(J10&gt;=TODAY(),"Vigente","Encerrado"))</f>
        <v>Vigente</v>
      </c>
      <c r="L10" s="8" t="n">
        <f aca="false">IF(OR(I10="",J10=""),"",ROUND((J10-I10)/30.44,1))</f>
        <v>12</v>
      </c>
      <c r="M10" s="9" t="n">
        <v>525600</v>
      </c>
      <c r="N10" s="9" t="n">
        <f aca="false">IF(OR(L10="",L10=0,M10=""),"",M10/L10)</f>
        <v>43800</v>
      </c>
      <c r="O10" s="10" t="n">
        <f aca="false">IF(OR(E10=0,N10=""),"",N10*12/E10)</f>
        <v>4.36262222148442</v>
      </c>
      <c r="P10" s="5" t="s">
        <v>754</v>
      </c>
      <c r="Q10" s="5" t="s">
        <v>100</v>
      </c>
      <c r="R10" s="5" t="s">
        <v>780</v>
      </c>
      <c r="S10" s="5" t="s">
        <v>781</v>
      </c>
    </row>
    <row r="11" customFormat="false" ht="15" hidden="false" customHeight="false" outlineLevel="0" collapsed="false">
      <c r="A11" s="11" t="s">
        <v>782</v>
      </c>
      <c r="B11" s="11" t="s">
        <v>94</v>
      </c>
      <c r="C11" s="11" t="s">
        <v>783</v>
      </c>
      <c r="D11" s="11" t="s">
        <v>96</v>
      </c>
      <c r="E11" s="12" t="n">
        <v>36777</v>
      </c>
      <c r="F11" s="11" t="s">
        <v>105</v>
      </c>
      <c r="G11" s="11" t="n">
        <v>2026</v>
      </c>
      <c r="H11" s="11" t="s">
        <v>106</v>
      </c>
      <c r="I11" s="13" t="n">
        <v>46204</v>
      </c>
      <c r="J11" s="13" t="n">
        <v>46569</v>
      </c>
      <c r="K11" s="11" t="str">
        <f aca="true">IF(J11="","",IF(J11&gt;=TODAY(),"Vigente","Encerrado"))</f>
        <v>Vigente</v>
      </c>
      <c r="L11" s="14" t="n">
        <f aca="false">IF(OR(I11="",J11=""),"",ROUND((J11-I11)/30.44,1))</f>
        <v>12</v>
      </c>
      <c r="M11" s="15" t="n">
        <v>132000</v>
      </c>
      <c r="N11" s="15" t="n">
        <f aca="false">IF(OR(L11="",L11=0,M11=""),"",M11/L11)</f>
        <v>11000</v>
      </c>
      <c r="O11" s="16" t="n">
        <f aca="false">IF(OR(E11=0,N11=""),"",N11*12/E11)</f>
        <v>3.58919977159638</v>
      </c>
      <c r="P11" s="11" t="s">
        <v>754</v>
      </c>
      <c r="Q11" s="11" t="s">
        <v>100</v>
      </c>
      <c r="R11" s="11" t="s">
        <v>784</v>
      </c>
      <c r="S11" s="11" t="s">
        <v>785</v>
      </c>
    </row>
    <row r="12" customFormat="false" ht="15" hidden="false" customHeight="false" outlineLevel="0" collapsed="false">
      <c r="A12" s="5" t="s">
        <v>782</v>
      </c>
      <c r="B12" s="5" t="s">
        <v>94</v>
      </c>
      <c r="C12" s="5" t="s">
        <v>783</v>
      </c>
      <c r="D12" s="5" t="s">
        <v>96</v>
      </c>
      <c r="E12" s="6" t="n">
        <v>36777</v>
      </c>
      <c r="F12" s="5" t="s">
        <v>105</v>
      </c>
      <c r="G12" s="5" t="n">
        <v>2026</v>
      </c>
      <c r="H12" s="5" t="s">
        <v>106</v>
      </c>
      <c r="I12" s="7" t="n">
        <v>46204</v>
      </c>
      <c r="J12" s="7" t="n">
        <v>46569</v>
      </c>
      <c r="K12" s="5" t="str">
        <f aca="true">IF(J12="","",IF(J12&gt;=TODAY(),"Vigente","Encerrado"))</f>
        <v>Vigente</v>
      </c>
      <c r="L12" s="8" t="n">
        <f aca="false">IF(OR(I12="",J12=""),"",ROUND((J12-I12)/30.44,1))</f>
        <v>12</v>
      </c>
      <c r="M12" s="9" t="n">
        <v>316800</v>
      </c>
      <c r="N12" s="9" t="n">
        <f aca="false">IF(OR(L12="",L12=0,M12=""),"",M12/L12)</f>
        <v>26400</v>
      </c>
      <c r="O12" s="10" t="n">
        <f aca="false">IF(OR(E12=0,N12=""),"",N12*12/E12)</f>
        <v>8.61407945183131</v>
      </c>
      <c r="P12" s="5" t="s">
        <v>754</v>
      </c>
      <c r="Q12" s="5" t="s">
        <v>100</v>
      </c>
      <c r="R12" s="5" t="s">
        <v>786</v>
      </c>
      <c r="S12" s="5" t="s">
        <v>787</v>
      </c>
    </row>
    <row r="13" customFormat="false" ht="15" hidden="false" customHeight="false" outlineLevel="0" collapsed="false">
      <c r="A13" s="11" t="s">
        <v>788</v>
      </c>
      <c r="B13" s="11" t="s">
        <v>94</v>
      </c>
      <c r="C13" s="11" t="s">
        <v>789</v>
      </c>
      <c r="D13" s="11" t="s">
        <v>96</v>
      </c>
      <c r="E13" s="12" t="n">
        <v>26163</v>
      </c>
      <c r="F13" s="11" t="s">
        <v>105</v>
      </c>
      <c r="G13" s="11" t="n">
        <v>2026</v>
      </c>
      <c r="H13" s="11" t="s">
        <v>111</v>
      </c>
      <c r="I13" s="13" t="n">
        <v>46113</v>
      </c>
      <c r="J13" s="13" t="n">
        <v>46477</v>
      </c>
      <c r="K13" s="11" t="str">
        <f aca="true">IF(J13="","",IF(J13&gt;=TODAY(),"Vigente","Encerrado"))</f>
        <v>Vigente</v>
      </c>
      <c r="L13" s="14" t="n">
        <f aca="false">IF(OR(I13="",J13=""),"",ROUND((J13-I13)/30.44,1))</f>
        <v>12</v>
      </c>
      <c r="M13" s="15" t="n">
        <v>456000</v>
      </c>
      <c r="N13" s="15" t="n">
        <f aca="false">IF(OR(L13="",L13=0,M13=""),"",M13/L13)</f>
        <v>38000</v>
      </c>
      <c r="O13" s="16" t="n">
        <f aca="false">IF(OR(E13=0,N13=""),"",N13*12/E13)</f>
        <v>17.4291938997821</v>
      </c>
      <c r="P13" s="11" t="s">
        <v>754</v>
      </c>
      <c r="Q13" s="11" t="s">
        <v>100</v>
      </c>
      <c r="R13" s="11" t="s">
        <v>790</v>
      </c>
      <c r="S13" s="11" t="s">
        <v>791</v>
      </c>
    </row>
    <row r="14" customFormat="false" ht="15" hidden="false" customHeight="false" outlineLevel="0" collapsed="false">
      <c r="A14" s="5" t="s">
        <v>792</v>
      </c>
      <c r="B14" s="5" t="s">
        <v>94</v>
      </c>
      <c r="C14" s="5" t="s">
        <v>793</v>
      </c>
      <c r="D14" s="5" t="s">
        <v>96</v>
      </c>
      <c r="E14" s="6" t="n">
        <v>150858</v>
      </c>
      <c r="F14" s="5" t="s">
        <v>592</v>
      </c>
      <c r="G14" s="5" t="n">
        <v>2024</v>
      </c>
      <c r="H14" s="5" t="s">
        <v>106</v>
      </c>
      <c r="I14" s="7" t="n">
        <v>45653</v>
      </c>
      <c r="J14" s="7" t="n">
        <v>46018</v>
      </c>
      <c r="K14" s="5" t="str">
        <f aca="true">IF(J14="","",IF(J14&gt;=TODAY(),"Vigente","Encerrado"))</f>
        <v>Encerrado</v>
      </c>
      <c r="L14" s="8" t="n">
        <f aca="false">IF(OR(I14="",J14=""),"",ROUND((J14-I14)/30.44,1))</f>
        <v>12</v>
      </c>
      <c r="M14" s="9" t="n">
        <v>5000</v>
      </c>
      <c r="N14" s="9" t="n">
        <f aca="false">IF(OR(L14="",L14=0,M14=""),"",M14/L14)</f>
        <v>416.666666666667</v>
      </c>
      <c r="O14" s="10" t="n">
        <f aca="false">IF(OR(E14=0,N14=""),"",N14*12/E14)</f>
        <v>0.0331437510771719</v>
      </c>
      <c r="P14" s="5" t="s">
        <v>754</v>
      </c>
      <c r="Q14" s="5" t="s">
        <v>100</v>
      </c>
      <c r="R14" s="5" t="s">
        <v>794</v>
      </c>
      <c r="S14" s="5" t="s">
        <v>795</v>
      </c>
    </row>
  </sheetData>
  <autoFilter ref="A1:S14"/>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796</v>
      </c>
      <c r="B2" s="5" t="s">
        <v>405</v>
      </c>
      <c r="C2" s="5" t="s">
        <v>758</v>
      </c>
      <c r="D2" s="5" t="s">
        <v>96</v>
      </c>
      <c r="E2" s="6" t="n">
        <v>550925</v>
      </c>
      <c r="F2" s="5" t="s">
        <v>759</v>
      </c>
      <c r="G2" s="5" t="n">
        <v>2024</v>
      </c>
      <c r="H2" s="5" t="s">
        <v>634</v>
      </c>
      <c r="I2" s="7" t="n">
        <v>45301</v>
      </c>
      <c r="J2" s="7" t="n">
        <v>45657</v>
      </c>
      <c r="K2" s="5" t="str">
        <f aca="true">IF(J2="","",IF(J2&gt;=TODAY(),"Vigente","Encerrado"))</f>
        <v>Encerrado</v>
      </c>
      <c r="L2" s="8" t="n">
        <f aca="false">IF(OR(I2="",J2=""),"",ROUND((J2-I2)/30.44,1))</f>
        <v>11.7</v>
      </c>
      <c r="M2" s="9" t="n">
        <v>24000</v>
      </c>
      <c r="N2" s="9" t="n">
        <f aca="false">IF(OR(L2="",L2=0,M2=""),"",M2/L2)</f>
        <v>2051.28205128205</v>
      </c>
      <c r="O2" s="10" t="n">
        <f aca="false">IF(OR(E2=0,N2=""),"",N2*12/E2)</f>
        <v>0.0446801009491031</v>
      </c>
      <c r="P2" s="5" t="s">
        <v>754</v>
      </c>
      <c r="Q2" s="5" t="s">
        <v>100</v>
      </c>
      <c r="R2" s="5" t="s">
        <v>797</v>
      </c>
      <c r="S2" s="5" t="s">
        <v>798</v>
      </c>
    </row>
    <row r="3" customFormat="false" ht="15" hidden="false" customHeight="false" outlineLevel="0" collapsed="false">
      <c r="A3" s="11" t="s">
        <v>799</v>
      </c>
      <c r="B3" s="11" t="s">
        <v>405</v>
      </c>
      <c r="C3" s="11" t="s">
        <v>763</v>
      </c>
      <c r="D3" s="11" t="s">
        <v>96</v>
      </c>
      <c r="E3" s="12" t="n">
        <v>24701</v>
      </c>
      <c r="F3" s="11" t="s">
        <v>105</v>
      </c>
      <c r="G3" s="11" t="n">
        <v>2025</v>
      </c>
      <c r="H3" s="11" t="s">
        <v>634</v>
      </c>
      <c r="I3" s="13" t="n">
        <v>45716</v>
      </c>
      <c r="J3" s="13" t="n">
        <v>46022</v>
      </c>
      <c r="K3" s="11" t="str">
        <f aca="true">IF(J3="","",IF(J3&gt;=TODAY(),"Vigente","Encerrado"))</f>
        <v>Encerrado</v>
      </c>
      <c r="L3" s="14" t="n">
        <f aca="false">IF(OR(I3="",J3=""),"",ROUND((J3-I3)/30.44,1))</f>
        <v>10.1</v>
      </c>
      <c r="M3" s="15" t="n">
        <v>1500</v>
      </c>
      <c r="N3" s="15" t="n">
        <f aca="false">IF(OR(L3="",L3=0,M3=""),"",M3/L3)</f>
        <v>148.514851485149</v>
      </c>
      <c r="O3" s="16" t="n">
        <f aca="false">IF(OR(E3=0,N3=""),"",N3*12/E3)</f>
        <v>0.0721500432299009</v>
      </c>
      <c r="P3" s="11" t="s">
        <v>754</v>
      </c>
      <c r="Q3" s="11" t="s">
        <v>100</v>
      </c>
      <c r="R3" s="11" t="s">
        <v>800</v>
      </c>
      <c r="S3" s="11" t="s">
        <v>801</v>
      </c>
    </row>
    <row r="4" customFormat="false" ht="15" hidden="false" customHeight="false" outlineLevel="0" collapsed="false">
      <c r="A4" s="5" t="s">
        <v>802</v>
      </c>
      <c r="B4" s="5" t="s">
        <v>405</v>
      </c>
      <c r="C4" s="5" t="s">
        <v>803</v>
      </c>
      <c r="D4" s="5" t="s">
        <v>96</v>
      </c>
      <c r="E4" s="6" t="n">
        <v>104788</v>
      </c>
      <c r="F4" s="5" t="s">
        <v>592</v>
      </c>
      <c r="G4" s="5" t="n">
        <v>2022</v>
      </c>
      <c r="H4" s="5" t="s">
        <v>111</v>
      </c>
      <c r="I4" s="7" t="n">
        <v>44662</v>
      </c>
      <c r="J4" s="7" t="n">
        <v>45047</v>
      </c>
      <c r="K4" s="5" t="str">
        <f aca="true">IF(J4="","",IF(J4&gt;=TODAY(),"Vigente","Encerrado"))</f>
        <v>Encerrado</v>
      </c>
      <c r="L4" s="8" t="n">
        <f aca="false">IF(OR(I4="",J4=""),"",ROUND((J4-I4)/30.44,1))</f>
        <v>12.6</v>
      </c>
      <c r="M4" s="9" t="n">
        <v>24000</v>
      </c>
      <c r="N4" s="9" t="n">
        <f aca="false">IF(OR(L4="",L4=0,M4=""),"",M4/L4)</f>
        <v>1904.7619047619</v>
      </c>
      <c r="O4" s="10" t="n">
        <f aca="false">IF(OR(E4=0,N4=""),"",N4*12/E4)</f>
        <v>0.218127484608379</v>
      </c>
      <c r="P4" s="5" t="s">
        <v>754</v>
      </c>
      <c r="Q4" s="5" t="s">
        <v>100</v>
      </c>
      <c r="R4" s="5" t="s">
        <v>804</v>
      </c>
      <c r="S4" s="5" t="s">
        <v>805</v>
      </c>
    </row>
    <row r="5" customFormat="false" ht="15" hidden="false" customHeight="false" outlineLevel="0" collapsed="false">
      <c r="A5" s="11" t="s">
        <v>590</v>
      </c>
      <c r="B5" s="11" t="s">
        <v>405</v>
      </c>
      <c r="C5" s="11" t="s">
        <v>591</v>
      </c>
      <c r="D5" s="11" t="s">
        <v>96</v>
      </c>
      <c r="E5" s="12" t="n">
        <v>120789</v>
      </c>
      <c r="F5" s="11" t="s">
        <v>592</v>
      </c>
      <c r="G5" s="11" t="n">
        <v>2025</v>
      </c>
      <c r="H5" s="11" t="s">
        <v>634</v>
      </c>
      <c r="I5" s="13" t="n">
        <v>45945</v>
      </c>
      <c r="J5" s="13" t="n">
        <v>46310</v>
      </c>
      <c r="K5" s="11" t="str">
        <f aca="true">IF(J5="","",IF(J5&gt;=TODAY(),"Vigente","Encerrado"))</f>
        <v>Vigente</v>
      </c>
      <c r="L5" s="14" t="n">
        <f aca="false">IF(OR(I5="",J5=""),"",ROUND((J5-I5)/30.44,1))</f>
        <v>12</v>
      </c>
      <c r="M5" s="15" t="n">
        <v>21600</v>
      </c>
      <c r="N5" s="15" t="n">
        <f aca="false">IF(OR(L5="",L5=0,M5=""),"",M5/L5)</f>
        <v>1800</v>
      </c>
      <c r="O5" s="16" t="n">
        <f aca="false">IF(OR(E5=0,N5=""),"",N5*12/E5)</f>
        <v>0.178824230683258</v>
      </c>
      <c r="P5" s="11" t="s">
        <v>754</v>
      </c>
      <c r="Q5" s="11" t="s">
        <v>100</v>
      </c>
      <c r="R5" s="11" t="s">
        <v>806</v>
      </c>
      <c r="S5" s="11" t="s">
        <v>807</v>
      </c>
    </row>
    <row r="6" customFormat="false" ht="15" hidden="false" customHeight="false" outlineLevel="0" collapsed="false">
      <c r="A6" s="5" t="s">
        <v>808</v>
      </c>
      <c r="B6" s="5" t="s">
        <v>405</v>
      </c>
      <c r="C6" s="5" t="s">
        <v>789</v>
      </c>
      <c r="D6" s="5" t="s">
        <v>96</v>
      </c>
      <c r="E6" s="6" t="n">
        <v>26163</v>
      </c>
      <c r="F6" s="5" t="s">
        <v>105</v>
      </c>
      <c r="G6" s="5" t="n">
        <v>2025</v>
      </c>
      <c r="H6" s="5" t="s">
        <v>111</v>
      </c>
      <c r="I6" s="7" t="n">
        <v>45680</v>
      </c>
      <c r="J6" s="7" t="n">
        <v>46022</v>
      </c>
      <c r="K6" s="5" t="str">
        <f aca="true">IF(J6="","",IF(J6&gt;=TODAY(),"Vigente","Encerrado"))</f>
        <v>Encerrado</v>
      </c>
      <c r="L6" s="8" t="n">
        <f aca="false">IF(OR(I6="",J6=""),"",ROUND((J6-I6)/30.44,1))</f>
        <v>11.2</v>
      </c>
      <c r="M6" s="9" t="n">
        <v>31200</v>
      </c>
      <c r="N6" s="9" t="n">
        <f aca="false">IF(OR(L6="",L6=0,M6=""),"",M6/L6)</f>
        <v>2785.71428571429</v>
      </c>
      <c r="O6" s="10" t="n">
        <f aca="false">IF(OR(E6=0,N6=""),"",N6*12/E6)</f>
        <v>1.27770406408177</v>
      </c>
      <c r="P6" s="5" t="s">
        <v>754</v>
      </c>
      <c r="Q6" s="5" t="s">
        <v>100</v>
      </c>
      <c r="R6" s="5" t="s">
        <v>809</v>
      </c>
      <c r="S6" s="5" t="s">
        <v>810</v>
      </c>
    </row>
    <row r="7" customFormat="false" ht="15" hidden="false" customHeight="false" outlineLevel="0" collapsed="false">
      <c r="A7" s="11" t="s">
        <v>811</v>
      </c>
      <c r="B7" s="11" t="s">
        <v>405</v>
      </c>
      <c r="C7" s="11" t="s">
        <v>812</v>
      </c>
      <c r="D7" s="11" t="s">
        <v>96</v>
      </c>
      <c r="E7" s="12" t="n">
        <v>53640</v>
      </c>
      <c r="F7" s="11" t="s">
        <v>105</v>
      </c>
      <c r="G7" s="11" t="n">
        <v>2023</v>
      </c>
      <c r="H7" s="11" t="s">
        <v>111</v>
      </c>
      <c r="I7" s="13" t="n">
        <v>44949</v>
      </c>
      <c r="J7" s="13" t="n">
        <v>45291</v>
      </c>
      <c r="K7" s="11" t="str">
        <f aca="true">IF(J7="","",IF(J7&gt;=TODAY(),"Vigente","Encerrado"))</f>
        <v>Encerrado</v>
      </c>
      <c r="L7" s="14" t="n">
        <f aca="false">IF(OR(I7="",J7=""),"",ROUND((J7-I7)/30.44,1))</f>
        <v>11.2</v>
      </c>
      <c r="M7" s="15" t="n">
        <v>36000</v>
      </c>
      <c r="N7" s="15" t="n">
        <f aca="false">IF(OR(L7="",L7=0,M7=""),"",M7/L7)</f>
        <v>3214.28571428571</v>
      </c>
      <c r="O7" s="16" t="n">
        <f aca="false">IF(OR(E7=0,N7=""),"",N7*12/E7)</f>
        <v>0.719079578139981</v>
      </c>
      <c r="P7" s="11" t="s">
        <v>754</v>
      </c>
      <c r="Q7" s="11" t="s">
        <v>100</v>
      </c>
      <c r="R7" s="11" t="s">
        <v>813</v>
      </c>
      <c r="S7" s="11" t="s">
        <v>814</v>
      </c>
    </row>
    <row r="8" customFormat="false" ht="15" hidden="false" customHeight="false" outlineLevel="0" collapsed="false">
      <c r="A8" s="5" t="s">
        <v>815</v>
      </c>
      <c r="B8" s="5" t="s">
        <v>405</v>
      </c>
      <c r="C8" s="5" t="s">
        <v>816</v>
      </c>
      <c r="D8" s="5" t="s">
        <v>96</v>
      </c>
      <c r="E8" s="6" t="n">
        <v>27757</v>
      </c>
      <c r="F8" s="5" t="s">
        <v>105</v>
      </c>
      <c r="G8" s="5" t="n">
        <v>2024</v>
      </c>
      <c r="H8" s="5" t="s">
        <v>634</v>
      </c>
      <c r="I8" s="7" t="n">
        <v>45311</v>
      </c>
      <c r="J8" s="7" t="n">
        <v>45657</v>
      </c>
      <c r="K8" s="5" t="str">
        <f aca="true">IF(J8="","",IF(J8&gt;=TODAY(),"Vigente","Encerrado"))</f>
        <v>Encerrado</v>
      </c>
      <c r="L8" s="8" t="n">
        <f aca="false">IF(OR(I8="",J8=""),"",ROUND((J8-I8)/30.44,1))</f>
        <v>11.4</v>
      </c>
      <c r="M8" s="9" t="n">
        <v>18000</v>
      </c>
      <c r="N8" s="9" t="n">
        <f aca="false">IF(OR(L8="",L8=0,M8=""),"",M8/L8)</f>
        <v>1578.94736842105</v>
      </c>
      <c r="O8" s="10" t="n">
        <f aca="false">IF(OR(E8=0,N8=""),"",N8*12/E8)</f>
        <v>0.682615859821041</v>
      </c>
      <c r="P8" s="5" t="s">
        <v>754</v>
      </c>
      <c r="Q8" s="5" t="s">
        <v>100</v>
      </c>
      <c r="R8" s="5" t="s">
        <v>817</v>
      </c>
      <c r="S8" s="5" t="s">
        <v>818</v>
      </c>
    </row>
    <row r="9" customFormat="false" ht="15" hidden="false" customHeight="false" outlineLevel="0" collapsed="false">
      <c r="A9" s="11" t="s">
        <v>819</v>
      </c>
      <c r="B9" s="11" t="s">
        <v>405</v>
      </c>
      <c r="C9" s="11" t="s">
        <v>820</v>
      </c>
      <c r="D9" s="11" t="s">
        <v>96</v>
      </c>
      <c r="E9" s="12" t="n">
        <v>213506</v>
      </c>
      <c r="F9" s="11" t="s">
        <v>592</v>
      </c>
      <c r="G9" s="11" t="n">
        <v>2024</v>
      </c>
      <c r="H9" s="11" t="s">
        <v>111</v>
      </c>
      <c r="I9" s="13" t="n">
        <v>45370</v>
      </c>
      <c r="J9" s="13" t="n">
        <v>45657</v>
      </c>
      <c r="K9" s="11" t="str">
        <f aca="true">IF(J9="","",IF(J9&gt;=TODAY(),"Vigente","Encerrado"))</f>
        <v>Encerrado</v>
      </c>
      <c r="L9" s="14" t="n">
        <f aca="false">IF(OR(I9="",J9=""),"",ROUND((J9-I9)/30.44,1))</f>
        <v>9.4</v>
      </c>
      <c r="M9" s="15" t="n">
        <v>39000</v>
      </c>
      <c r="N9" s="15" t="n">
        <f aca="false">IF(OR(L9="",L9=0,M9=""),"",M9/L9)</f>
        <v>4148.93617021277</v>
      </c>
      <c r="O9" s="16" t="n">
        <f aca="false">IF(OR(E9=0,N9=""),"",N9*12/E9)</f>
        <v>0.233188922290489</v>
      </c>
      <c r="P9" s="11" t="s">
        <v>754</v>
      </c>
      <c r="Q9" s="11" t="s">
        <v>100</v>
      </c>
      <c r="R9" s="11" t="s">
        <v>821</v>
      </c>
      <c r="S9" s="11" t="s">
        <v>822</v>
      </c>
    </row>
  </sheetData>
  <autoFilter ref="A1:S9"/>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823</v>
      </c>
      <c r="B2" s="5" t="s">
        <v>744</v>
      </c>
      <c r="C2" s="5" t="s">
        <v>824</v>
      </c>
      <c r="D2" s="5" t="s">
        <v>96</v>
      </c>
      <c r="E2" s="6" t="n">
        <v>10714</v>
      </c>
      <c r="F2" s="5" t="s">
        <v>97</v>
      </c>
      <c r="G2" s="5" t="n">
        <v>2026</v>
      </c>
      <c r="H2" s="5" t="s">
        <v>634</v>
      </c>
      <c r="I2" s="7" t="n">
        <v>46027</v>
      </c>
      <c r="J2" s="7" t="n">
        <v>46387</v>
      </c>
      <c r="K2" s="5" t="str">
        <f aca="true">IF(J2="","",IF(J2&gt;=TODAY(),"Vigente","Encerrado"))</f>
        <v>Vigente</v>
      </c>
      <c r="L2" s="8" t="n">
        <f aca="false">IF(OR(I2="",J2=""),"",ROUND((J2-I2)/30.44,1))</f>
        <v>11.8</v>
      </c>
      <c r="M2" s="9" t="n">
        <v>35236.08</v>
      </c>
      <c r="N2" s="9" t="n">
        <f aca="false">IF(OR(L2="",L2=0,M2=""),"",M2/L2)</f>
        <v>2986.10847457627</v>
      </c>
      <c r="O2" s="10" t="n">
        <f aca="false">IF(OR(E2=0,N2=""),"",N2*12/E2)</f>
        <v>3.3445306790102</v>
      </c>
      <c r="P2" s="5" t="s">
        <v>754</v>
      </c>
      <c r="Q2" s="5" t="s">
        <v>100</v>
      </c>
      <c r="R2" s="5" t="s">
        <v>825</v>
      </c>
      <c r="S2" s="5" t="s">
        <v>826</v>
      </c>
    </row>
    <row r="3" customFormat="false" ht="15" hidden="false" customHeight="false" outlineLevel="0" collapsed="false">
      <c r="A3" s="11" t="s">
        <v>827</v>
      </c>
      <c r="B3" s="11" t="s">
        <v>744</v>
      </c>
      <c r="C3" s="11" t="s">
        <v>828</v>
      </c>
      <c r="D3" s="11" t="s">
        <v>96</v>
      </c>
      <c r="E3" s="12" t="n">
        <v>218872</v>
      </c>
      <c r="F3" s="11" t="s">
        <v>592</v>
      </c>
      <c r="G3" s="11" t="n">
        <v>2023</v>
      </c>
      <c r="H3" s="11" t="s">
        <v>111</v>
      </c>
      <c r="I3" s="13" t="n">
        <v>44999</v>
      </c>
      <c r="J3" s="13" t="n">
        <v>45364</v>
      </c>
      <c r="K3" s="11" t="str">
        <f aca="true">IF(J3="","",IF(J3&gt;=TODAY(),"Vigente","Encerrado"))</f>
        <v>Encerrado</v>
      </c>
      <c r="L3" s="14" t="n">
        <f aca="false">IF(OR(I3="",J3=""),"",ROUND((J3-I3)/30.44,1))</f>
        <v>12</v>
      </c>
      <c r="M3" s="15" t="n">
        <v>51648</v>
      </c>
      <c r="N3" s="15" t="n">
        <f aca="false">IF(OR(L3="",L3=0,M3=""),"",M3/L3)</f>
        <v>4304</v>
      </c>
      <c r="O3" s="16" t="n">
        <f aca="false">IF(OR(E3=0,N3=""),"",N3*12/E3)</f>
        <v>0.235973537044483</v>
      </c>
      <c r="P3" s="11" t="s">
        <v>754</v>
      </c>
      <c r="Q3" s="11" t="s">
        <v>100</v>
      </c>
      <c r="R3" s="11" t="s">
        <v>829</v>
      </c>
      <c r="S3" s="11" t="s">
        <v>830</v>
      </c>
    </row>
  </sheetData>
  <autoFilter ref="A1:S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831</v>
      </c>
      <c r="B2" s="5" t="s">
        <v>94</v>
      </c>
      <c r="C2" s="5" t="s">
        <v>832</v>
      </c>
      <c r="D2" s="5" t="s">
        <v>96</v>
      </c>
      <c r="E2" s="6" t="n">
        <v>29827</v>
      </c>
      <c r="F2" s="5" t="s">
        <v>105</v>
      </c>
      <c r="G2" s="5" t="n">
        <v>2025</v>
      </c>
      <c r="H2" s="5" t="s">
        <v>106</v>
      </c>
      <c r="I2" s="7" t="n">
        <v>45770</v>
      </c>
      <c r="J2" s="7" t="n">
        <v>46135</v>
      </c>
      <c r="K2" s="5" t="str">
        <f aca="true">IF(J2="","",IF(J2&gt;=TODAY(),"Vigente","Encerrado"))</f>
        <v>Encerrado</v>
      </c>
      <c r="L2" s="8" t="n">
        <f aca="false">IF(OR(I2="",J2=""),"",ROUND((J2-I2)/30.44,1))</f>
        <v>12</v>
      </c>
      <c r="M2" s="9" t="n">
        <v>282000</v>
      </c>
      <c r="N2" s="9" t="n">
        <f aca="false">IF(OR(L2="",L2=0,M2=""),"",M2/L2)</f>
        <v>23500</v>
      </c>
      <c r="O2" s="10" t="n">
        <f aca="false">IF(OR(E2=0,N2=""),"",N2*12/E2)</f>
        <v>9.45452107151239</v>
      </c>
      <c r="P2" s="5" t="s">
        <v>833</v>
      </c>
      <c r="Q2" s="5" t="s">
        <v>100</v>
      </c>
      <c r="R2" s="5" t="s">
        <v>834</v>
      </c>
      <c r="S2" s="5" t="s">
        <v>835</v>
      </c>
    </row>
    <row r="3" customFormat="false" ht="15" hidden="false" customHeight="false" outlineLevel="0" collapsed="false">
      <c r="A3" s="11" t="s">
        <v>836</v>
      </c>
      <c r="B3" s="11" t="s">
        <v>94</v>
      </c>
      <c r="C3" s="11" t="s">
        <v>837</v>
      </c>
      <c r="D3" s="11" t="s">
        <v>96</v>
      </c>
      <c r="E3" s="12" t="n">
        <v>6142</v>
      </c>
      <c r="F3" s="11" t="s">
        <v>97</v>
      </c>
      <c r="G3" s="11" t="n">
        <v>2025</v>
      </c>
      <c r="H3" s="11" t="s">
        <v>98</v>
      </c>
      <c r="I3" s="13" t="n">
        <v>45775</v>
      </c>
      <c r="J3" s="13" t="n">
        <v>46022</v>
      </c>
      <c r="K3" s="11" t="str">
        <f aca="true">IF(J3="","",IF(J3&gt;=TODAY(),"Vigente","Encerrado"))</f>
        <v>Encerrado</v>
      </c>
      <c r="L3" s="14" t="n">
        <f aca="false">IF(OR(I3="",J3=""),"",ROUND((J3-I3)/30.44,1))</f>
        <v>8.1</v>
      </c>
      <c r="M3" s="15" t="n">
        <v>152000</v>
      </c>
      <c r="N3" s="15" t="n">
        <f aca="false">IF(OR(L3="",L3=0,M3=""),"",M3/L3)</f>
        <v>18765.4320987654</v>
      </c>
      <c r="O3" s="16" t="n">
        <f aca="false">IF(OR(E3=0,N3=""),"",N3*12/E3)</f>
        <v>36.6631691932897</v>
      </c>
      <c r="P3" s="11" t="s">
        <v>833</v>
      </c>
      <c r="Q3" s="11" t="s">
        <v>100</v>
      </c>
      <c r="R3" s="11" t="s">
        <v>838</v>
      </c>
      <c r="S3" s="11" t="s">
        <v>839</v>
      </c>
    </row>
    <row r="4" customFormat="false" ht="15" hidden="false" customHeight="false" outlineLevel="0" collapsed="false">
      <c r="A4" s="5" t="s">
        <v>840</v>
      </c>
      <c r="B4" s="5" t="s">
        <v>94</v>
      </c>
      <c r="C4" s="5" t="s">
        <v>841</v>
      </c>
      <c r="D4" s="5" t="s">
        <v>96</v>
      </c>
      <c r="E4" s="6" t="n">
        <v>3939</v>
      </c>
      <c r="F4" s="5" t="s">
        <v>97</v>
      </c>
      <c r="G4" s="5" t="n">
        <v>2023</v>
      </c>
      <c r="H4" s="5" t="s">
        <v>111</v>
      </c>
      <c r="I4" s="7" t="n">
        <v>44960</v>
      </c>
      <c r="J4" s="7" t="n">
        <v>45291</v>
      </c>
      <c r="K4" s="5" t="str">
        <f aca="true">IF(J4="","",IF(J4&gt;=TODAY(),"Vigente","Encerrado"))</f>
        <v>Encerrado</v>
      </c>
      <c r="L4" s="8" t="n">
        <f aca="false">IF(OR(I4="",J4=""),"",ROUND((J4-I4)/30.44,1))</f>
        <v>10.9</v>
      </c>
      <c r="M4" s="9" t="n">
        <v>11000</v>
      </c>
      <c r="N4" s="9" t="n">
        <f aca="false">IF(OR(L4="",L4=0,M4=""),"",M4/L4)</f>
        <v>1009.17431192661</v>
      </c>
      <c r="O4" s="10" t="n">
        <f aca="false">IF(OR(E4=0,N4=""),"",N4*12/E4)</f>
        <v>3.07440765248014</v>
      </c>
      <c r="P4" s="5" t="s">
        <v>833</v>
      </c>
      <c r="Q4" s="5" t="s">
        <v>100</v>
      </c>
      <c r="R4" s="5" t="s">
        <v>842</v>
      </c>
      <c r="S4" s="5" t="s">
        <v>843</v>
      </c>
    </row>
    <row r="5" customFormat="false" ht="15" hidden="false" customHeight="false" outlineLevel="0" collapsed="false">
      <c r="A5" s="11" t="s">
        <v>844</v>
      </c>
      <c r="B5" s="11" t="s">
        <v>94</v>
      </c>
      <c r="C5" s="11" t="s">
        <v>816</v>
      </c>
      <c r="D5" s="11" t="s">
        <v>96</v>
      </c>
      <c r="E5" s="12" t="n">
        <v>27757</v>
      </c>
      <c r="F5" s="11" t="s">
        <v>105</v>
      </c>
      <c r="G5" s="11" t="n">
        <v>2025</v>
      </c>
      <c r="H5" s="11" t="s">
        <v>106</v>
      </c>
      <c r="I5" s="13" t="n">
        <v>46014</v>
      </c>
      <c r="J5" s="13" t="n">
        <v>46379</v>
      </c>
      <c r="K5" s="11" t="str">
        <f aca="true">IF(J5="","",IF(J5&gt;=TODAY(),"Vigente","Encerrado"))</f>
        <v>Vigente</v>
      </c>
      <c r="L5" s="14" t="n">
        <f aca="false">IF(OR(I5="",J5=""),"",ROUND((J5-I5)/30.44,1))</f>
        <v>12</v>
      </c>
      <c r="M5" s="15" t="n">
        <v>28601.6</v>
      </c>
      <c r="N5" s="15" t="n">
        <f aca="false">IF(OR(L5="",L5=0,M5=""),"",M5/L5)</f>
        <v>2383.46666666667</v>
      </c>
      <c r="O5" s="16" t="n">
        <f aca="false">IF(OR(E5=0,N5=""),"",N5*12/E5)</f>
        <v>1.03042836041359</v>
      </c>
      <c r="P5" s="11" t="s">
        <v>833</v>
      </c>
      <c r="Q5" s="11" t="s">
        <v>100</v>
      </c>
      <c r="R5" s="11" t="s">
        <v>845</v>
      </c>
      <c r="S5" s="11" t="s">
        <v>846</v>
      </c>
    </row>
    <row r="6" customFormat="false" ht="15" hidden="false" customHeight="false" outlineLevel="0" collapsed="false">
      <c r="A6" s="5" t="s">
        <v>844</v>
      </c>
      <c r="B6" s="5" t="s">
        <v>94</v>
      </c>
      <c r="C6" s="5" t="s">
        <v>816</v>
      </c>
      <c r="D6" s="5" t="s">
        <v>96</v>
      </c>
      <c r="E6" s="6" t="n">
        <v>27757</v>
      </c>
      <c r="F6" s="5" t="s">
        <v>105</v>
      </c>
      <c r="G6" s="5" t="n">
        <v>2025</v>
      </c>
      <c r="H6" s="5" t="s">
        <v>106</v>
      </c>
      <c r="I6" s="7" t="n">
        <v>46014</v>
      </c>
      <c r="J6" s="7" t="n">
        <v>46379</v>
      </c>
      <c r="K6" s="5" t="str">
        <f aca="true">IF(J6="","",IF(J6&gt;=TODAY(),"Vigente","Encerrado"))</f>
        <v>Vigente</v>
      </c>
      <c r="L6" s="8" t="n">
        <f aca="false">IF(OR(I6="",J6=""),"",ROUND((J6-I6)/30.44,1))</f>
        <v>12</v>
      </c>
      <c r="M6" s="9" t="n">
        <v>39580</v>
      </c>
      <c r="N6" s="9" t="n">
        <f aca="false">IF(OR(L6="",L6=0,M6=""),"",M6/L6)</f>
        <v>3298.33333333333</v>
      </c>
      <c r="O6" s="10" t="n">
        <f aca="false">IF(OR(E6=0,N6=""),"",N6*12/E6)</f>
        <v>1.42594660806283</v>
      </c>
      <c r="P6" s="5" t="s">
        <v>833</v>
      </c>
      <c r="Q6" s="5" t="s">
        <v>100</v>
      </c>
      <c r="R6" s="5" t="s">
        <v>845</v>
      </c>
      <c r="S6" s="5" t="s">
        <v>847</v>
      </c>
    </row>
    <row r="7" customFormat="false" ht="15" hidden="false" customHeight="false" outlineLevel="0" collapsed="false">
      <c r="A7" s="11" t="s">
        <v>844</v>
      </c>
      <c r="B7" s="11" t="s">
        <v>94</v>
      </c>
      <c r="C7" s="11" t="s">
        <v>816</v>
      </c>
      <c r="D7" s="11" t="s">
        <v>96</v>
      </c>
      <c r="E7" s="12" t="n">
        <v>27757</v>
      </c>
      <c r="F7" s="11" t="s">
        <v>105</v>
      </c>
      <c r="G7" s="11" t="n">
        <v>2025</v>
      </c>
      <c r="H7" s="11" t="s">
        <v>106</v>
      </c>
      <c r="I7" s="13" t="n">
        <v>46014</v>
      </c>
      <c r="J7" s="13" t="n">
        <v>46379</v>
      </c>
      <c r="K7" s="11" t="str">
        <f aca="true">IF(J7="","",IF(J7&gt;=TODAY(),"Vigente","Encerrado"))</f>
        <v>Vigente</v>
      </c>
      <c r="L7" s="14" t="n">
        <f aca="false">IF(OR(I7="",J7=""),"",ROUND((J7-I7)/30.44,1))</f>
        <v>12</v>
      </c>
      <c r="M7" s="15" t="n">
        <v>261818.4</v>
      </c>
      <c r="N7" s="15" t="n">
        <f aca="false">IF(OR(L7="",L7=0,M7=""),"",M7/L7)</f>
        <v>21818.2</v>
      </c>
      <c r="O7" s="16" t="n">
        <f aca="false">IF(OR(E7=0,N7=""),"",N7*12/E7)</f>
        <v>9.43251792340671</v>
      </c>
      <c r="P7" s="11" t="s">
        <v>833</v>
      </c>
      <c r="Q7" s="11" t="s">
        <v>100</v>
      </c>
      <c r="R7" s="11" t="s">
        <v>848</v>
      </c>
      <c r="S7" s="11" t="s">
        <v>849</v>
      </c>
    </row>
    <row r="8" customFormat="false" ht="15" hidden="false" customHeight="false" outlineLevel="0" collapsed="false">
      <c r="A8" s="5" t="s">
        <v>850</v>
      </c>
      <c r="B8" s="5" t="s">
        <v>94</v>
      </c>
      <c r="C8" s="5" t="s">
        <v>851</v>
      </c>
      <c r="D8" s="5" t="s">
        <v>96</v>
      </c>
      <c r="E8" s="6" t="n">
        <v>6280</v>
      </c>
      <c r="F8" s="5" t="s">
        <v>97</v>
      </c>
      <c r="G8" s="5" t="n">
        <v>2026</v>
      </c>
      <c r="H8" s="5" t="s">
        <v>111</v>
      </c>
      <c r="I8" s="7" t="n">
        <v>46063</v>
      </c>
      <c r="J8" s="7" t="n">
        <v>46234</v>
      </c>
      <c r="K8" s="5" t="str">
        <f aca="true">IF(J8="","",IF(J8&gt;=TODAY(),"Vigente","Encerrado"))</f>
        <v>Encerrado</v>
      </c>
      <c r="L8" s="8" t="n">
        <f aca="false">IF(OR(I8="",J8=""),"",ROUND((J8-I8)/30.44,1))</f>
        <v>5.6</v>
      </c>
      <c r="M8" s="9" t="n">
        <v>31800</v>
      </c>
      <c r="N8" s="9" t="n">
        <f aca="false">IF(OR(L8="",L8=0,M8=""),"",M8/L8)</f>
        <v>5678.57142857143</v>
      </c>
      <c r="O8" s="10" t="n">
        <f aca="false">IF(OR(E8=0,N8=""),"",N8*12/E8)</f>
        <v>10.8507734303913</v>
      </c>
      <c r="P8" s="5" t="s">
        <v>833</v>
      </c>
      <c r="Q8" s="5" t="s">
        <v>100</v>
      </c>
      <c r="R8" s="5" t="s">
        <v>852</v>
      </c>
      <c r="S8" s="5" t="s">
        <v>853</v>
      </c>
    </row>
  </sheetData>
  <autoFilter ref="A1:S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799</v>
      </c>
      <c r="B2" s="5" t="s">
        <v>405</v>
      </c>
      <c r="C2" s="5" t="s">
        <v>763</v>
      </c>
      <c r="D2" s="5" t="s">
        <v>96</v>
      </c>
      <c r="E2" s="6" t="n">
        <v>24701</v>
      </c>
      <c r="F2" s="5" t="s">
        <v>105</v>
      </c>
      <c r="G2" s="5" t="n">
        <v>2024</v>
      </c>
      <c r="H2" s="5" t="s">
        <v>634</v>
      </c>
      <c r="I2" s="7" t="n">
        <v>45314</v>
      </c>
      <c r="J2" s="7" t="n">
        <v>45657</v>
      </c>
      <c r="K2" s="5" t="str">
        <f aca="true">IF(J2="","",IF(J2&gt;=TODAY(),"Vigente","Encerrado"))</f>
        <v>Encerrado</v>
      </c>
      <c r="L2" s="8" t="n">
        <f aca="false">IF(OR(I2="",J2=""),"",ROUND((J2-I2)/30.44,1))</f>
        <v>11.3</v>
      </c>
      <c r="M2" s="9" t="n">
        <v>10800</v>
      </c>
      <c r="N2" s="9" t="n">
        <f aca="false">IF(OR(L2="",L2=0,M2=""),"",M2/L2)</f>
        <v>955.752212389381</v>
      </c>
      <c r="O2" s="10" t="n">
        <f aca="false">IF(OR(E2=0,N2=""),"",N2*12/E2)</f>
        <v>0.464314260502513</v>
      </c>
      <c r="P2" s="5" t="s">
        <v>833</v>
      </c>
      <c r="Q2" s="5" t="s">
        <v>100</v>
      </c>
      <c r="R2" s="5" t="s">
        <v>854</v>
      </c>
      <c r="S2" s="5" t="s">
        <v>855</v>
      </c>
    </row>
    <row r="3" customFormat="false" ht="15" hidden="false" customHeight="false" outlineLevel="0" collapsed="false">
      <c r="A3" s="11" t="s">
        <v>856</v>
      </c>
      <c r="B3" s="11" t="s">
        <v>405</v>
      </c>
      <c r="C3" s="11" t="s">
        <v>832</v>
      </c>
      <c r="D3" s="11" t="s">
        <v>96</v>
      </c>
      <c r="E3" s="12" t="n">
        <v>29827</v>
      </c>
      <c r="F3" s="11" t="s">
        <v>105</v>
      </c>
      <c r="G3" s="11" t="n">
        <v>2025</v>
      </c>
      <c r="H3" s="11" t="s">
        <v>111</v>
      </c>
      <c r="I3" s="13" t="n">
        <v>45674</v>
      </c>
      <c r="J3" s="13" t="n">
        <v>46022</v>
      </c>
      <c r="K3" s="11" t="str">
        <f aca="true">IF(J3="","",IF(J3&gt;=TODAY(),"Vigente","Encerrado"))</f>
        <v>Encerrado</v>
      </c>
      <c r="L3" s="14" t="n">
        <f aca="false">IF(OR(I3="",J3=""),"",ROUND((J3-I3)/30.44,1))</f>
        <v>11.4</v>
      </c>
      <c r="M3" s="15" t="n">
        <v>24000</v>
      </c>
      <c r="N3" s="15" t="n">
        <f aca="false">IF(OR(L3="",L3=0,M3=""),"",M3/L3)</f>
        <v>2105.26315789474</v>
      </c>
      <c r="O3" s="16" t="n">
        <f aca="false">IF(OR(E3=0,N3=""),"",N3*12/E3)</f>
        <v>0.846989569676362</v>
      </c>
      <c r="P3" s="11" t="s">
        <v>833</v>
      </c>
      <c r="Q3" s="11" t="s">
        <v>100</v>
      </c>
      <c r="R3" s="11" t="s">
        <v>857</v>
      </c>
      <c r="S3" s="11" t="s">
        <v>858</v>
      </c>
    </row>
    <row r="4" customFormat="false" ht="15" hidden="false" customHeight="false" outlineLevel="0" collapsed="false">
      <c r="A4" s="5" t="s">
        <v>856</v>
      </c>
      <c r="B4" s="5" t="s">
        <v>405</v>
      </c>
      <c r="C4" s="5" t="s">
        <v>832</v>
      </c>
      <c r="D4" s="5" t="s">
        <v>96</v>
      </c>
      <c r="E4" s="6" t="n">
        <v>29827</v>
      </c>
      <c r="F4" s="5" t="s">
        <v>105</v>
      </c>
      <c r="G4" s="5" t="n">
        <v>2023</v>
      </c>
      <c r="H4" s="5" t="s">
        <v>111</v>
      </c>
      <c r="I4" s="7" t="n">
        <v>44958</v>
      </c>
      <c r="J4" s="7" t="n">
        <v>45291</v>
      </c>
      <c r="K4" s="5" t="str">
        <f aca="true">IF(J4="","",IF(J4&gt;=TODAY(),"Vigente","Encerrado"))</f>
        <v>Encerrado</v>
      </c>
      <c r="L4" s="8" t="n">
        <f aca="false">IF(OR(I4="",J4=""),"",ROUND((J4-I4)/30.44,1))</f>
        <v>10.9</v>
      </c>
      <c r="M4" s="9" t="n">
        <v>11000</v>
      </c>
      <c r="N4" s="9" t="n">
        <f aca="false">IF(OR(L4="",L4=0,M4=""),"",M4/L4)</f>
        <v>1009.17431192661</v>
      </c>
      <c r="O4" s="10" t="n">
        <f aca="false">IF(OR(E4=0,N4=""),"",N4*12/E4)</f>
        <v>0.406011055188898</v>
      </c>
      <c r="P4" s="5" t="s">
        <v>833</v>
      </c>
      <c r="Q4" s="5" t="s">
        <v>100</v>
      </c>
      <c r="R4" s="5" t="s">
        <v>859</v>
      </c>
      <c r="S4" s="5" t="s">
        <v>860</v>
      </c>
    </row>
    <row r="5" customFormat="false" ht="15" hidden="false" customHeight="false" outlineLevel="0" collapsed="false">
      <c r="A5" s="11" t="s">
        <v>861</v>
      </c>
      <c r="B5" s="11" t="s">
        <v>405</v>
      </c>
      <c r="C5" s="11" t="s">
        <v>862</v>
      </c>
      <c r="D5" s="11" t="s">
        <v>96</v>
      </c>
      <c r="E5" s="12" t="n">
        <v>110404</v>
      </c>
      <c r="F5" s="11" t="s">
        <v>592</v>
      </c>
      <c r="G5" s="11" t="n">
        <v>2025</v>
      </c>
      <c r="H5" s="11" t="s">
        <v>106</v>
      </c>
      <c r="I5" s="13" t="n">
        <v>45800</v>
      </c>
      <c r="J5" s="13" t="n">
        <v>46164</v>
      </c>
      <c r="K5" s="11" t="str">
        <f aca="true">IF(J5="","",IF(J5&gt;=TODAY(),"Vigente","Encerrado"))</f>
        <v>Encerrado</v>
      </c>
      <c r="L5" s="14" t="n">
        <f aca="false">IF(OR(I5="",J5=""),"",ROUND((J5-I5)/30.44,1))</f>
        <v>12</v>
      </c>
      <c r="M5" s="15" t="n">
        <v>50400</v>
      </c>
      <c r="N5" s="15" t="n">
        <f aca="false">IF(OR(L5="",L5=0,M5=""),"",M5/L5)</f>
        <v>4200</v>
      </c>
      <c r="O5" s="16" t="n">
        <f aca="false">IF(OR(E5=0,N5=""),"",N5*12/E5)</f>
        <v>0.45650519908699</v>
      </c>
      <c r="P5" s="11" t="s">
        <v>863</v>
      </c>
      <c r="Q5" s="11" t="s">
        <v>100</v>
      </c>
      <c r="R5" s="11" t="s">
        <v>864</v>
      </c>
      <c r="S5" s="11" t="s">
        <v>865</v>
      </c>
    </row>
    <row r="6" customFormat="false" ht="15" hidden="false" customHeight="false" outlineLevel="0" collapsed="false">
      <c r="A6" s="5" t="s">
        <v>866</v>
      </c>
      <c r="B6" s="5" t="s">
        <v>405</v>
      </c>
      <c r="C6" s="5" t="s">
        <v>841</v>
      </c>
      <c r="D6" s="5" t="s">
        <v>96</v>
      </c>
      <c r="E6" s="6" t="n">
        <v>3939</v>
      </c>
      <c r="F6" s="5" t="s">
        <v>97</v>
      </c>
      <c r="G6" s="5" t="n">
        <v>2025</v>
      </c>
      <c r="H6" s="5" t="s">
        <v>111</v>
      </c>
      <c r="I6" s="7" t="n">
        <v>45681</v>
      </c>
      <c r="J6" s="7" t="n">
        <v>46022</v>
      </c>
      <c r="K6" s="5" t="str">
        <f aca="true">IF(J6="","",IF(J6&gt;=TODAY(),"Vigente","Encerrado"))</f>
        <v>Encerrado</v>
      </c>
      <c r="L6" s="8" t="n">
        <f aca="false">IF(OR(I6="",J6=""),"",ROUND((J6-I6)/30.44,1))</f>
        <v>11.2</v>
      </c>
      <c r="M6" s="9" t="n">
        <v>11314.92</v>
      </c>
      <c r="N6" s="9" t="n">
        <f aca="false">IF(OR(L6="",L6=0,M6=""),"",M6/L6)</f>
        <v>1010.26071428571</v>
      </c>
      <c r="O6" s="10" t="n">
        <f aca="false">IF(OR(E6=0,N6=""),"",N6*12/E6)</f>
        <v>3.07771733217278</v>
      </c>
      <c r="P6" s="5" t="s">
        <v>833</v>
      </c>
      <c r="Q6" s="5" t="s">
        <v>100</v>
      </c>
      <c r="R6" s="5" t="s">
        <v>867</v>
      </c>
      <c r="S6" s="5" t="s">
        <v>868</v>
      </c>
    </row>
    <row r="7" customFormat="false" ht="15" hidden="false" customHeight="false" outlineLevel="0" collapsed="false">
      <c r="A7" s="11" t="s">
        <v>869</v>
      </c>
      <c r="B7" s="11" t="s">
        <v>405</v>
      </c>
      <c r="C7" s="11" t="s">
        <v>870</v>
      </c>
      <c r="D7" s="11" t="s">
        <v>96</v>
      </c>
      <c r="E7" s="12" t="n">
        <v>6491</v>
      </c>
      <c r="F7" s="11" t="s">
        <v>97</v>
      </c>
      <c r="G7" s="11" t="n">
        <v>2026</v>
      </c>
      <c r="H7" s="11" t="s">
        <v>111</v>
      </c>
      <c r="I7" s="13" t="n">
        <v>46031</v>
      </c>
      <c r="J7" s="13" t="n">
        <v>46387</v>
      </c>
      <c r="K7" s="11" t="str">
        <f aca="true">IF(J7="","",IF(J7&gt;=TODAY(),"Vigente","Encerrado"))</f>
        <v>Vigente</v>
      </c>
      <c r="L7" s="14" t="n">
        <f aca="false">IF(OR(I7="",J7=""),"",ROUND((J7-I7)/30.44,1))</f>
        <v>11.7</v>
      </c>
      <c r="M7" s="15" t="n">
        <v>15669</v>
      </c>
      <c r="N7" s="15" t="n">
        <f aca="false">IF(OR(L7="",L7=0,M7=""),"",M7/L7)</f>
        <v>1339.23076923077</v>
      </c>
      <c r="O7" s="16" t="n">
        <f aca="false">IF(OR(E7=0,N7=""),"",N7*12/E7)</f>
        <v>2.47585414123698</v>
      </c>
      <c r="P7" s="11" t="s">
        <v>833</v>
      </c>
      <c r="Q7" s="11" t="s">
        <v>100</v>
      </c>
      <c r="R7" s="11" t="s">
        <v>871</v>
      </c>
      <c r="S7" s="11" t="s">
        <v>872</v>
      </c>
    </row>
    <row r="8" customFormat="false" ht="15" hidden="false" customHeight="false" outlineLevel="0" collapsed="false">
      <c r="A8" s="5" t="s">
        <v>869</v>
      </c>
      <c r="B8" s="5" t="s">
        <v>405</v>
      </c>
      <c r="C8" s="5" t="s">
        <v>870</v>
      </c>
      <c r="D8" s="5" t="s">
        <v>96</v>
      </c>
      <c r="E8" s="6" t="n">
        <v>6491</v>
      </c>
      <c r="F8" s="5" t="s">
        <v>97</v>
      </c>
      <c r="G8" s="5" t="n">
        <v>2025</v>
      </c>
      <c r="H8" s="5" t="s">
        <v>111</v>
      </c>
      <c r="I8" s="7" t="n">
        <v>45749</v>
      </c>
      <c r="J8" s="7" t="n">
        <v>46022</v>
      </c>
      <c r="K8" s="5" t="str">
        <f aca="true">IF(J8="","",IF(J8&gt;=TODAY(),"Vigente","Encerrado"))</f>
        <v>Encerrado</v>
      </c>
      <c r="L8" s="8" t="n">
        <f aca="false">IF(OR(I8="",J8=""),"",ROUND((J8-I8)/30.44,1))</f>
        <v>9</v>
      </c>
      <c r="M8" s="9" t="n">
        <v>11250</v>
      </c>
      <c r="N8" s="9" t="n">
        <f aca="false">IF(OR(L8="",L8=0,M8=""),"",M8/L8)</f>
        <v>1250</v>
      </c>
      <c r="O8" s="10" t="n">
        <f aca="false">IF(OR(E8=0,N8=""),"",N8*12/E8)</f>
        <v>2.31089200431367</v>
      </c>
      <c r="P8" s="5" t="s">
        <v>833</v>
      </c>
      <c r="Q8" s="5" t="s">
        <v>100</v>
      </c>
      <c r="R8" s="5" t="s">
        <v>873</v>
      </c>
      <c r="S8" s="5" t="s">
        <v>874</v>
      </c>
    </row>
  </sheetData>
  <autoFilter ref="A1:S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2"/>
    <col collapsed="false" customWidth="true" hidden="false" outlineLevel="0" max="2" min="2" style="0" width="14"/>
    <col collapsed="false" customWidth="true" hidden="false" outlineLevel="0" max="3" min="3" style="0" width="20"/>
    <col collapsed="false" customWidth="true" hidden="false" outlineLevel="0" max="4" min="4" style="0" width="5"/>
    <col collapsed="false" customWidth="true" hidden="false" outlineLevel="0" max="5" min="5" style="0" width="16"/>
    <col collapsed="false" customWidth="true" hidden="false" outlineLevel="0" max="6" min="6" style="0" width="19"/>
    <col collapsed="false" customWidth="true" hidden="false" outlineLevel="0" max="7" min="7" style="0" width="7"/>
    <col collapsed="false" customWidth="true" hidden="false" outlineLevel="0" max="8" min="8" style="0" width="20"/>
    <col collapsed="false" customWidth="true" hidden="false" outlineLevel="0" max="10" min="9" style="0" width="13"/>
    <col collapsed="false" customWidth="true" hidden="false" outlineLevel="0" max="11" min="11" style="0" width="12"/>
    <col collapsed="false" customWidth="true" hidden="false" outlineLevel="0" max="12" min="12" style="0" width="8"/>
    <col collapsed="false" customWidth="true" hidden="false" outlineLevel="0" max="14" min="13" style="0" width="16"/>
    <col collapsed="false" customWidth="true" hidden="false" outlineLevel="0" max="15" min="15" style="0" width="12"/>
    <col collapsed="false" customWidth="true" hidden="false" outlineLevel="0" max="16" min="16" style="0" width="42"/>
    <col collapsed="false" customWidth="true" hidden="false" outlineLevel="0" max="17" min="17" style="0" width="40"/>
    <col collapsed="false" customWidth="true" hidden="false" outlineLevel="0" max="18" min="18" style="0" width="70"/>
    <col collapsed="false" customWidth="true" hidden="false" outlineLevel="0" max="19" min="19" style="0" width="55"/>
  </cols>
  <sheetData>
    <row r="1" customFormat="false" ht="23.25" hidden="false" customHeight="true" outlineLevel="0" collapsed="false">
      <c r="A1" s="4" t="s">
        <v>74</v>
      </c>
      <c r="B1" s="4" t="s">
        <v>75</v>
      </c>
      <c r="C1" s="4" t="s">
        <v>76</v>
      </c>
      <c r="D1" s="4" t="s">
        <v>77</v>
      </c>
      <c r="E1" s="4" t="s">
        <v>78</v>
      </c>
      <c r="F1" s="4" t="s">
        <v>79</v>
      </c>
      <c r="G1" s="4" t="s">
        <v>80</v>
      </c>
      <c r="H1" s="4" t="s">
        <v>81</v>
      </c>
      <c r="I1" s="4" t="s">
        <v>82</v>
      </c>
      <c r="J1" s="4" t="s">
        <v>83</v>
      </c>
      <c r="K1" s="4" t="s">
        <v>84</v>
      </c>
      <c r="L1" s="4" t="s">
        <v>85</v>
      </c>
      <c r="M1" s="4" t="s">
        <v>86</v>
      </c>
      <c r="N1" s="4" t="s">
        <v>87</v>
      </c>
      <c r="O1" s="4" t="s">
        <v>88</v>
      </c>
      <c r="P1" s="4" t="s">
        <v>89</v>
      </c>
      <c r="Q1" s="4" t="s">
        <v>90</v>
      </c>
      <c r="R1" s="4" t="s">
        <v>91</v>
      </c>
      <c r="S1" s="4" t="s">
        <v>92</v>
      </c>
    </row>
    <row r="2" customFormat="false" ht="15" hidden="false" customHeight="false" outlineLevel="0" collapsed="false">
      <c r="A2" s="5" t="s">
        <v>875</v>
      </c>
      <c r="B2" s="5" t="s">
        <v>405</v>
      </c>
      <c r="C2" s="5" t="s">
        <v>365</v>
      </c>
      <c r="D2" s="5" t="s">
        <v>96</v>
      </c>
      <c r="E2" s="6" t="n">
        <v>45400</v>
      </c>
      <c r="F2" s="5" t="s">
        <v>105</v>
      </c>
      <c r="G2" s="5" t="n">
        <v>2026</v>
      </c>
      <c r="H2" s="5" t="s">
        <v>634</v>
      </c>
      <c r="I2" s="7" t="n">
        <v>46027</v>
      </c>
      <c r="J2" s="7" t="n">
        <v>46387</v>
      </c>
      <c r="K2" s="5" t="str">
        <f aca="true">IF(J2="","",IF(J2&gt;=TODAY(),"Vigente","Encerrado"))</f>
        <v>Vigente</v>
      </c>
      <c r="L2" s="8" t="n">
        <f aca="false">IF(OR(I2="",J2=""),"",ROUND((J2-I2)/30.44,1))</f>
        <v>11.8</v>
      </c>
      <c r="M2" s="9" t="n">
        <v>22800</v>
      </c>
      <c r="N2" s="9" t="n">
        <f aca="false">IF(OR(L2="",L2=0,M2=""),"",M2/L2)</f>
        <v>1932.20338983051</v>
      </c>
      <c r="O2" s="10" t="n">
        <f aca="false">IF(OR(E2=0,N2=""),"",N2*12/E2)</f>
        <v>0.510714552378108</v>
      </c>
      <c r="P2" s="5" t="s">
        <v>876</v>
      </c>
      <c r="Q2" s="5" t="s">
        <v>100</v>
      </c>
      <c r="R2" s="5" t="s">
        <v>877</v>
      </c>
      <c r="S2" s="5" t="s">
        <v>878</v>
      </c>
    </row>
  </sheetData>
  <autoFilter ref="A1:S2"/>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2026-09-09T20:24:46Z</dcterms:created>
  <dc:creator>openpyxl</dc:creator>
  <dc:description/>
  <dc:language>en-US</dc:language>
  <cp:lastModifiedBy/>
  <dcterms:modified xsi:type="dcterms:W3CDTF">2026-09-09T20:24:46Z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