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Contratos 1Doc" sheetId="2" state="visible" r:id="rId4"/>
    <sheet name="Contratos Aprova" sheetId="3" state="visible" r:id="rId5"/>
    <sheet name="Contratos Gove" sheetId="4" state="visible" r:id="rId6"/>
    <sheet name="Resumo por faixa" sheetId="5" state="visible" r:id="rId7"/>
    <sheet name="Proposta de preco" sheetId="6" state="visible" r:id="rId8"/>
  </sheets>
  <definedNames>
    <definedName function="false" hidden="true" localSheetId="1" name="_xlnm._FilterDatabase" vbProcedure="false">'Contratos 1Doc'!$A$1:$R$115</definedName>
    <definedName function="false" hidden="true" localSheetId="2" name="_xlnm._FilterDatabase" vbProcedure="false">'Contratos Aprova'!$A$1:$R$15</definedName>
    <definedName function="false" hidden="true" localSheetId="3" name="_xlnm._FilterDatabase" vbProcedure="false">'Contratos Gove'!$A$1:$R$32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<sst xmlns="http://schemas.openxmlformats.org/spreadsheetml/2006/main" count="1721" uniqueCount="791">
  <si>
    <t xml:space="preserve">Protocolo 3.0 · Benchmark de precos praticados por concorrentes no setor publico</t>
  </si>
  <si>
    <t xml:space="preserve">Fonte dos dados</t>
  </si>
  <si>
    <t xml:space="preserve">Portal Nacional de Contratacoes Publicas (PNCP) - API publica de consulta de contratos. Coleta em 03/09/2026.</t>
  </si>
  <si>
    <t xml:space="preserve">1Doc Tecnologia S.A. - CNPJ 19.625.833/0001-76 · 196 contratos localizados, 114 aderentes ao objeto.</t>
  </si>
  <si>
    <t xml:space="preserve">Aprova Digital S/A - CNPJ 24.757.040/0001-40 · 57 localizados, 14 aderentes.</t>
  </si>
  <si>
    <t xml:space="preserve">Muove Brasil S.A. (marca Gove) - CNPJ 21.870.040/0001-64 · 34 localizados, 31 com valor e vigencia validos.</t>
  </si>
  <si>
    <t xml:space="preserve">Populacao municipal: IBGE, Estimativas da Populacao 2024 (agregado 6579, variavel 9324), cruzada pelo codigo IBGE do orgao.</t>
  </si>
  <si>
    <t xml:space="preserve">Grau de comparabilidade de cada concorrente</t>
  </si>
  <si>
    <t xml:space="preserve">1Doc · BENCHMARK DIRETO. Objeto identico ao Protocolo 3.0: protocolo, tramitacao de processos administrativos e gestao documental.</t>
  </si>
  <si>
    <t xml:space="preserve">Aprova Digital · ADJACENTE. Atua predominantemente em licenciamento de obras e alvaras. Referencia de teto, nao de preco comparavel.</t>
  </si>
  <si>
    <t xml:space="preserve">Gove / Muove Brasil · ADJACENTE, NAO COMPARAVEL NO OBJETO. Plataforma de inteligencia de dados, gestao tributaria e relacionamento</t>
  </si>
  <si>
    <t xml:space="preserve">com o cidadao. Nenhum dos contratos analisados tem por objeto tramitacao de processos administrativos ou protocolo eletronico.</t>
  </si>
  <si>
    <t xml:space="preserve">Serve como referencia de quanto a prefeitura aceita pagar por SaaS de gestao - nao como parametro de preco do Protocolo 3.0.</t>
  </si>
  <si>
    <t xml:space="preserve">Criterio de selecao</t>
  </si>
  <si>
    <t xml:space="preserve">Mantidos apenas Contrato (termo inicial) e Termo de Adesao. Aditivos e empenhos excluidos para nao duplicar valores.</t>
  </si>
  <si>
    <t xml:space="preserve">Descartados contratos sem valor, sem vigencia definida ou com vigencia inferior a 3 meses.</t>
  </si>
  <si>
    <t xml:space="preserve">Vigente x historico</t>
  </si>
  <si>
    <t xml:space="preserve">A coluna Situacao das abas de contratos e calculada com TODAY(): Vigente se a data de fim ainda nao passou. Ela se atualiza sozinha.</t>
  </si>
  <si>
    <t xml:space="preserve">No Resumo, a coluna Vigentes conta apenas contratos ainda em vigor. Minimo, maximo e mediana usam a base completa (vigentes + encerrados),</t>
  </si>
  <si>
    <t xml:space="preserve">porque restringir as estatisticas aos vigentes reduziria a amostra a ponto de invalidar a mediana em varias faixas.</t>
  </si>
  <si>
    <t xml:space="preserve">Como o valor mensal foi calculado</t>
  </si>
  <si>
    <t xml:space="preserve">Mensal = Valor global do contrato dividido pelos meses de vigencia. Aproximacao, nao o valor de assinatura informado pelo fornecedor.</t>
  </si>
  <si>
    <t xml:space="preserve">Ressalvas - ler antes de usar como parametro</t>
  </si>
  <si>
    <t xml:space="preserve">1. O valor global frequentemente inclui implantacao e treinamento. O mensal calculado tende a estar acima da assinatura pura.</t>
  </si>
  <si>
    <t xml:space="preserve">2. O escopo contratado varia entre contratos (planos e modulos diferentes). A dispersao dentro de cada faixa reflete escopo, nao so porte.</t>
  </si>
  <si>
    <t xml:space="preserve">3. Base com contratos de 2023 a 2026, sem correcao monetaria.</t>
  </si>
  <si>
    <t xml:space="preserve">4. Amostras com menos de 5 contratos nao sustentam mediana. Sinalizadas na coluna Confiabilidade.</t>
  </si>
  <si>
    <t xml:space="preserve">5. Somente a base da 1Doc alimenta a aba Proposta de preco. Aprova e Gove entram como contexto.</t>
  </si>
  <si>
    <t xml:space="preserve">6. O numero de contratos no PNCP e o piso da carteira de cada empresa, nao o total de clientes.</t>
  </si>
  <si>
    <t xml:space="preserve">Legenda de cores</t>
  </si>
  <si>
    <t xml:space="preserve">Azul = celula de entrada, preenchida pela Centi   ·   Amarelo = decisao pendente   ·   Preto = resultado de formula</t>
  </si>
  <si>
    <t xml:space="preserve">Abas</t>
  </si>
  <si>
    <t xml:space="preserve">Contratos 1Doc · Contratos Aprova · Contratos Gove · Resumo por faixa · Proposta de preco</t>
  </si>
  <si>
    <t xml:space="preserve">Orgao contratante</t>
  </si>
  <si>
    <t xml:space="preserve">Tipo de entidade</t>
  </si>
  <si>
    <t xml:space="preserve">Municipio</t>
  </si>
  <si>
    <t xml:space="preserve">UF</t>
  </si>
  <si>
    <t xml:space="preserve">Populacao 2024</t>
  </si>
  <si>
    <t xml:space="preserve">Faixa populacional</t>
  </si>
  <si>
    <t xml:space="preserve">Ano</t>
  </si>
  <si>
    <t xml:space="preserve">Modalidade</t>
  </si>
  <si>
    <t xml:space="preserve">Inicio vigencia</t>
  </si>
  <si>
    <t xml:space="preserve">Fim vigencia</t>
  </si>
  <si>
    <t xml:space="preserve">Situacao</t>
  </si>
  <si>
    <t xml:space="preserve">Meses</t>
  </si>
  <si>
    <t xml:space="preserve">Valor global (R$)</t>
  </si>
  <si>
    <t xml:space="preserve">Valor mensal (R$)</t>
  </si>
  <si>
    <t xml:space="preserve">R$/hab/ano</t>
  </si>
  <si>
    <t xml:space="preserve">Categoria do objeto</t>
  </si>
  <si>
    <t xml:space="preserve">Objeto contratado</t>
  </si>
  <si>
    <t xml:space="preserve">Link PNCP</t>
  </si>
  <si>
    <t xml:space="preserve">MUNICIPIO DE BOTUVERA</t>
  </si>
  <si>
    <t xml:space="preserve">Prefeitura</t>
  </si>
  <si>
    <t xml:space="preserve">Botuverá</t>
  </si>
  <si>
    <t xml:space="preserve">SC</t>
  </si>
  <si>
    <t xml:space="preserve">1 · Ate 20 mil</t>
  </si>
  <si>
    <t xml:space="preserve">Dispensa</t>
  </si>
  <si>
    <t xml:space="preserve">Protocolo / tramitacao de processos administrativos</t>
  </si>
  <si>
    <t xml:space="preserve">Referente contratação da plataforma eletrônica 1Doc para manutenção das atividades administrativas desse município.</t>
  </si>
  <si>
    <t xml:space="preserve">https://pncp.gov.br/app/contratos/contratos/83102350000196/2024/165</t>
  </si>
  <si>
    <t xml:space="preserve">MUNICIPIO DE SAO JOSE DO CERRITO</t>
  </si>
  <si>
    <t xml:space="preserve">São José do Cerrito</t>
  </si>
  <si>
    <t xml:space="preserve">Pregão - Eletrônico</t>
  </si>
  <si>
    <t xml:space="preserve">Contratação de Empresa para Prestação de Serviços de Locação de Sistema Integrado e Oficial de Comunicação Interna, Externa, Gestão Documental e Central de Atendimento.</t>
  </si>
  <si>
    <t xml:space="preserve">https://pncp.gov.br/app/contratos/contratos/82777327000139/2025/1584</t>
  </si>
  <si>
    <t xml:space="preserve">MUNICIPIO DE CATANDUVAS</t>
  </si>
  <si>
    <t xml:space="preserve">Catanduvas</t>
  </si>
  <si>
    <t xml:space="preserve">PR</t>
  </si>
  <si>
    <t xml:space="preserve">MODULO PROCESSO DIGITAL GESTAO DOCUMENTAL  MEMORANDO  CIRCULAR  OUVIDORIA DIGITAL  PROTOCOLO ELETRONICO  PEDIDO E SIC  OFICIO DIGITAL  PROCESSO ADMINISTRATIVO  WORKFLOW AVANCADO DE PROCESSOS </t>
  </si>
  <si>
    <t xml:space="preserve">https://pncp.gov.br/app/contratos/contratos/76208842000103/2026/3</t>
  </si>
  <si>
    <t xml:space="preserve">MUNICIPIO DE NOVA AURORA</t>
  </si>
  <si>
    <t xml:space="preserve">Nova Aurora</t>
  </si>
  <si>
    <t xml:space="preserve">Contratação de empresa para prestação de serviço locação de sistema SaaS integrado de gestão documental, protocolo externo e possibilidade de assinatura eletrônica através de certificado digital ICP-Brasil, contendo os s</t>
  </si>
  <si>
    <t xml:space="preserve">https://pncp.gov.br/app/contratos/contratos/76208859000152/2025/3</t>
  </si>
  <si>
    <t xml:space="preserve">MUNICIPIO DE DOM PEDRO DE ALCANTARA</t>
  </si>
  <si>
    <t xml:space="preserve">Dom Pedro de Alcântara</t>
  </si>
  <si>
    <t xml:space="preserve">RS</t>
  </si>
  <si>
    <t xml:space="preserve">Contratação de empresa para prestação de serviços de fornecimento, manutenção, suporte técnico e atualização de sistema SaaS (Software as a Service) integrado de gestão documental e protocolo eletrônico, com recursos de </t>
  </si>
  <si>
    <t xml:space="preserve">https://pncp.gov.br/app/contratos/contratos/01640339000115/2025/63</t>
  </si>
  <si>
    <t xml:space="preserve">MUNICIPIO DE ARAMINA</t>
  </si>
  <si>
    <t xml:space="preserve">Aramina</t>
  </si>
  <si>
    <t xml:space="preserve">SP</t>
  </si>
  <si>
    <t xml:space="preserve">CONTRATAÇÃO DE EMPRESA PARA PRESTAÇÃO DE SERVIÇO DE LOCAÇÃO DE SISTEMA INFORMATIZADO INTEGRADO E OFICIAL DE COMUNICAÇÃO INTERNA, EXTERNA, GESTÃO DOCUMENTAL E CENTRAL DE ATENDIMENTO, QUE TEM COMO OBJETIVO PADRONIZAR A COM</t>
  </si>
  <si>
    <t xml:space="preserve">https://pncp.gov.br/app/contratos/contratos/45323474000102/2024/105</t>
  </si>
  <si>
    <t xml:space="preserve">MUNICIPIO DE GRANDES RIOS</t>
  </si>
  <si>
    <t xml:space="preserve">Grandes Rios</t>
  </si>
  <si>
    <t xml:space="preserve">Contratação de tecnologia da informação para cessão de uso de software para tramitação e gestão de documentos, processos eletrônicos, assinatura eletrônica e controle de prazos e fluxo processual, em atendimento às secre</t>
  </si>
  <si>
    <t xml:space="preserve">https://pncp.gov.br/app/contratos/contratos/75741348000139/2025/122</t>
  </si>
  <si>
    <t xml:space="preserve">MUNICIPIO DE AGUDOS DO SUL</t>
  </si>
  <si>
    <t xml:space="preserve">Agudos do Sul</t>
  </si>
  <si>
    <t xml:space="preserve">CONTRATAÇÃO DE EMPRESA ESPECIALIZADA NA PRESTAÇÃO DE SERVIÇOS DE LOCAÇÃO DE SISTEMA INTEGRADO E OFICIAL DE COMUNICAÇÃO INTERNA E EXTERNA, GESTÃO DOCUMENTAL, CENTRAL DE ATENDIMENTO E GESTÃO AVANÇADA DE PROCESSOS (WORKFLOW</t>
  </si>
  <si>
    <t xml:space="preserve">https://pncp.gov.br/app/contratos/contratos/76105667000110/2026/48</t>
  </si>
  <si>
    <t xml:space="preserve">MUNICIPIO DE VALE DE SAO DOMINGOS</t>
  </si>
  <si>
    <t xml:space="preserve">Vale de São Domingos</t>
  </si>
  <si>
    <t xml:space="preserve">MT</t>
  </si>
  <si>
    <t xml:space="preserve">Concorrência - Eletrônica</t>
  </si>
  <si>
    <t xml:space="preserve">CONTRATAÇÃO DE EMPRESA PARA O FORNECIMENTO DE SOFTWARE PARA TRAMITAÇÃO E GESTÃO DE DOCUMENTOS</t>
  </si>
  <si>
    <t xml:space="preserve">https://pncp.gov.br/app/contratos/contratos/04215993000170/2025/30</t>
  </si>
  <si>
    <t xml:space="preserve">MUNICIPIO DE MORRO REUTER</t>
  </si>
  <si>
    <t xml:space="preserve">Morro Reuter</t>
  </si>
  <si>
    <t xml:space="preserve">Contratacao de Sistema SaaS integrado de gestao documental  protocolo externo e possibilidade de assinatura eletronica atraves de Certificado Digital ICP Brasil. </t>
  </si>
  <si>
    <t xml:space="preserve">https://pncp.gov.br/app/contratos/contratos/94707627000120/2025/132</t>
  </si>
  <si>
    <t xml:space="preserve">MUNICIPIO DE ACARI</t>
  </si>
  <si>
    <t xml:space="preserve">Acari</t>
  </si>
  <si>
    <t xml:space="preserve">RN</t>
  </si>
  <si>
    <t xml:space="preserve">CONTRATAÇÃO DE EMPRESA PARA O LICENCIAMENTO DE USO DE SOFTWARE, DENOMINADA PLATAFORMA “1DOC”, NOS TERMOS DESSE CONTRATO, DE FORMA ONEROSA, INTRANSFERÍVEL E NÃO EXCLUSIVA, COM AS FUNCIONALIDADES PREVISTAS DE GESTÃO, FORMA</t>
  </si>
  <si>
    <t xml:space="preserve">https://pncp.gov.br/app/contratos/contratos/08097008000120/2025/95</t>
  </si>
  <si>
    <t xml:space="preserve">Contratação da empresa 1Doc Tecnologia S.A., inscrita no CNPJ nº 19.625.833/0001-76, para fornecimento de sistema informatizado em modelo SaaS (Software as a Service), destinado à gestão integrada de processos administra</t>
  </si>
  <si>
    <t xml:space="preserve">https://pncp.gov.br/app/contratos/contratos/83102350000196/2026/614</t>
  </si>
  <si>
    <t xml:space="preserve">MUNICIPIO DE BOA VISTA DO BURICA</t>
  </si>
  <si>
    <t xml:space="preserve">Boa Vista do Buricá</t>
  </si>
  <si>
    <t xml:space="preserve">CONTRATAÇÃO DE UMA PLATAFORMA SAAS INTEGRADA DE GESTÃO DOCUMENTAL, VISANDO A EFICIÊNCIA E PADRONIZAÇÃO NA GESTÃO DE COMUNICAÇÃO, DOCUMENTAÇÃO, ATENDIMENTO E GERENCIAMENTO DE ATIVIDADES DA ADMINISTRAÇÃO PÚBLICA</t>
  </si>
  <si>
    <t xml:space="preserve">https://pncp.gov.br/app/contratos/contratos/87612867000186/2025/55</t>
  </si>
  <si>
    <t xml:space="preserve">MUNICIPIO DE RONCADOR</t>
  </si>
  <si>
    <t xml:space="preserve">Roncador</t>
  </si>
  <si>
    <t xml:space="preserve">CONTRATAÇÃO DE EMPRESA ESPECIALIZADA PARA A PRESTAÇÃO DE SERVIÇOS DE DISPONIBILIZAÇÃO, LICENCIAMENTO TEMPORÁRIO DE USO, IMPLANTAÇÃO, MANUTENÇÃO, ATUALIZAÇÃO E SUPORTE TÉCNICO DE SISTEMA INTEGRADO DE GESTÃO DOCUMENTAL, NO</t>
  </si>
  <si>
    <t xml:space="preserve">https://pncp.gov.br/app/contratos/contratos/75371401000157/2026/32</t>
  </si>
  <si>
    <t xml:space="preserve">MUNICIPIO DE BROCHIER</t>
  </si>
  <si>
    <t xml:space="preserve">Brochier</t>
  </si>
  <si>
    <t xml:space="preserve">Fornecimento e manutenção de sistema de gestão documental.</t>
  </si>
  <si>
    <t xml:space="preserve">https://pncp.gov.br/app/contratos/contratos/91693309000160/2025/85</t>
  </si>
  <si>
    <t xml:space="preserve">MUNICIPIO DE JOSE DA PENHA</t>
  </si>
  <si>
    <t xml:space="preserve">José da Penha</t>
  </si>
  <si>
    <t xml:space="preserve">Contratação de serviços técnicos especializados em tecnologia com vistas a automatizar todos os processos e comunicações internos e externos da Prefeitura, bem como o provimento de processos natodigitais, gestão eletrôni</t>
  </si>
  <si>
    <t xml:space="preserve">https://pncp.gov.br/app/contratos/contratos/08357642000154/2025/37</t>
  </si>
  <si>
    <t xml:space="preserve">MUNICIPIO DE GRANITO</t>
  </si>
  <si>
    <t xml:space="preserve">Granito</t>
  </si>
  <si>
    <t xml:space="preserve">PE</t>
  </si>
  <si>
    <t xml:space="preserve">Inexigibilidade</t>
  </si>
  <si>
    <t xml:space="preserve">ADESÃO À ATA DE REGISTRO DE PREÇOS REFERENTE A CONTRATAÇÃO DE EMPRESA VISANDO O FORNECIMENTO DE SOFTWARE PARA TRAMITAÇÃO E GESTÃO DE DOCUMENTOS., PROCESSO LICITATÓRIO Nº 028/2024 MODALIDADE PREGÃO ELETRÔNICO POR REGISTRO</t>
  </si>
  <si>
    <t xml:space="preserve">https://pncp.gov.br/app/contratos/contratos/11040888000102/2025/5</t>
  </si>
  <si>
    <t xml:space="preserve">MUNICIPIO DE CHUI</t>
  </si>
  <si>
    <t xml:space="preserve">Chuí</t>
  </si>
  <si>
    <t xml:space="preserve">Contratacao de empresa especializada para fornecimento  implantacao  licenciamento  suporte tecnico e manutencao da plataforma digital 1Doc   Gestao de Protocolos e Processos Digitais  destinada a tramitacao de protocolo</t>
  </si>
  <si>
    <t xml:space="preserve">https://pncp.gov.br/app/contratos/contratos/01606399000111/2026/6</t>
  </si>
  <si>
    <t xml:space="preserve">MUNICIPIO DE SAO PAULO DO POTENGI</t>
  </si>
  <si>
    <t xml:space="preserve">São Paulo do Potengi</t>
  </si>
  <si>
    <t xml:space="preserve">Contratação de solução tecnológica para viabilização de gestão eletrônica de documentos e processos administrativos, com foco na tramitação digital, controle de fluxo de trabalho, digitalização, assinaturas eletrônicas e</t>
  </si>
  <si>
    <t xml:space="preserve">https://pncp.gov.br/app/contratos/contratos/08079774000161/2025/23</t>
  </si>
  <si>
    <t xml:space="preserve">MUNICIPIO DE SAO JOAO</t>
  </si>
  <si>
    <t xml:space="preserve">São João</t>
  </si>
  <si>
    <t xml:space="preserve">contratacao de empresa especializada para disponibilizacao de sistema informatizado em formato SaaS (Software as a Service), destinado a gestao eletronica de documentos e processos administrativos do Municipio de Sao Joa</t>
  </si>
  <si>
    <t xml:space="preserve">https://pncp.gov.br/app/contratos/contratos/76995422000106/2025/446</t>
  </si>
  <si>
    <t xml:space="preserve">MUNICIPIO DE GRAO PARA</t>
  </si>
  <si>
    <t xml:space="preserve">Grão-Pará</t>
  </si>
  <si>
    <t xml:space="preserve">CONTRATAÇÃO  DE  EMPRESA  ESPECIALIZADA  NA  PRESTAÇÃO  DE  SERVIÇOS  DE  LOCAÇÃO DE  SISTEMA  INTEGRADO  E  OFICIAL  DE  COMUNICAÇÃO  INTERNA,  EXTERNA,  GESTÃO DOCUMENTAL  E  CENTRAL  DE  ATENDIMENTO,  COM  NO  MÍNIMO </t>
  </si>
  <si>
    <t xml:space="preserve">https://pncp.gov.br/app/contratos/contratos/82558149000155/2025/53</t>
  </si>
  <si>
    <t xml:space="preserve">MUNICIPIO DE AGUDO</t>
  </si>
  <si>
    <t xml:space="preserve">Agudo</t>
  </si>
  <si>
    <t xml:space="preserve">Contratacao de empresa de sistema de software para informatizacao integrada de comunicacao interna  externa  gestao documental e central de atendimento  modulos do Plano 1Doc Essencial  . </t>
  </si>
  <si>
    <t xml:space="preserve">https://pncp.gov.br/app/contratos/contratos/87531976000179/2025/248</t>
  </si>
  <si>
    <t xml:space="preserve">MUNICIPIO DE ITATINGA</t>
  </si>
  <si>
    <t xml:space="preserve">Itatinga</t>
  </si>
  <si>
    <t xml:space="preserve">Contratação de empresa especializada para prestação de serviço de locação mensal, de até 4 (quatro) meses com fornecimento de licença de uso de sistema web em formato SaaS para gestão da comunicação digital interna e ext</t>
  </si>
  <si>
    <t xml:space="preserve">https://pncp.gov.br/app/contratos/contratos/46634127000163/2025/106</t>
  </si>
  <si>
    <t xml:space="preserve">MUNICIPIO DE OURICURI</t>
  </si>
  <si>
    <t xml:space="preserve">Ouricuri</t>
  </si>
  <si>
    <t xml:space="preserve">2 · 20 a 100 mil</t>
  </si>
  <si>
    <t xml:space="preserve">CONTRATAÇÃO DE EMPRESA PARA O FORNECIMENTO DE SOFTWARE PARA TRAMITAÇÃO E GESTÃO DE DOCUMENTOS PARA ATENDER AS NECESSIDADES DA SECRETARIA MUNICIPAL DE ASSISTÊNCIA SOCIAL</t>
  </si>
  <si>
    <t xml:space="preserve">https://pncp.gov.br/app/contratos/contratos/11040904000167/2025/162</t>
  </si>
  <si>
    <t xml:space="preserve">CONTRATAÇÃO DE EMPRESA PARA O FORNECIMENTO DE SOFTWARE PARA TRAMITAÇÃO E GESTÃO DE DOCUMENTOS PARA ATENDER AS NECESSIDADES DA SECRETARIA MUNICIPAL DE EDUCAÇÃO</t>
  </si>
  <si>
    <t xml:space="preserve">https://pncp.gov.br/app/contratos/contratos/11040904000167/2025/161</t>
  </si>
  <si>
    <t xml:space="preserve">SERVICO DE PREVIDENCIA DOS SERVIDORES MUNICIPAIS DE MAR</t>
  </si>
  <si>
    <t xml:space="preserve">Maracaju</t>
  </si>
  <si>
    <t xml:space="preserve">MS</t>
  </si>
  <si>
    <t xml:space="preserve">Contratação de empresa especializada no fornecimento de licença de Plataforma (sistema) para gerenciamento eletrônico em nuvem (cloud) de documentos multiuso de forma personalizada e customizada, também conhecido como pr</t>
  </si>
  <si>
    <t xml:space="preserve">https://pncp.gov.br/app/contratos/contratos/00282876000178/2024/3</t>
  </si>
  <si>
    <t xml:space="preserve">CONTRATAÇÃO DE EMPRESA PARA O FORNECIMENTO DE SOFTWARE PARA TRAMITAÇÃO E GESTÃO DE DOCUMENTOS PARA ATENDER AS NECESSIDADES DA SECRETARIA MUNICIPAL DE SAÚDE</t>
  </si>
  <si>
    <t xml:space="preserve">https://pncp.gov.br/app/contratos/contratos/11040904000167/2025/160</t>
  </si>
  <si>
    <t xml:space="preserve">FUNDO MUNICIPAL DE EDUCACAO DE PAUDALHO</t>
  </si>
  <si>
    <t xml:space="preserve">Paudalho</t>
  </si>
  <si>
    <t xml:space="preserve">PRESTAÇÃO DE SERVIÇO DE SISTEMA PARA GESTÃO ELETRÔNICA DE DOCUMENTOS, ELABORAÇÃO, TRAMITAÇÃO, CERTIFICAÇÃO ELETRÔNICA, CONTROLE DE ATENDIMENTO DE DEMANDAS INTERNAS E EXTERNAS, CONTENDO OS MÓDULOS: MEMORANDO ELETRÔNICO, P</t>
  </si>
  <si>
    <t xml:space="preserve">https://pncp.gov.br/app/contratos/contratos/29355454000167/2025/106</t>
  </si>
  <si>
    <t xml:space="preserve">CONTRATAÇÃO DE EMPRESA PARA O FORNECIMENTO DE SOFTWARE PARA TRAMITAÇÃO E GESTÃO DE DOCUMENTOS PARA ATENDER AS NECESSIDADES DA SECRETARIA MUNICIPAL DE ADMINISTRAÇÃO</t>
  </si>
  <si>
    <t xml:space="preserve">https://pncp.gov.br/app/contratos/contratos/11040904000167/2025/166</t>
  </si>
  <si>
    <t xml:space="preserve">ESTADO DO PARA</t>
  </si>
  <si>
    <t xml:space="preserve">Augusto Corrêa</t>
  </si>
  <si>
    <t xml:space="preserve">PA</t>
  </si>
  <si>
    <t xml:space="preserve">Contratação de empresa especializada para a prestação de serviços de Sistema Informatizado, Integrado e oficial de comunicação interna, externa, gestão documental e central de atendimento, em formato SaaS para gerenciame</t>
  </si>
  <si>
    <t xml:space="preserve">https://pncp.gov.br/app/contratos/contratos/05054861000176/2023/57</t>
  </si>
  <si>
    <t xml:space="preserve">MUNICIPIO DE AUGUSTO CORREA</t>
  </si>
  <si>
    <t xml:space="preserve">https://pncp.gov.br/app/contratos/contratos/04873600000115/2023/1</t>
  </si>
  <si>
    <t xml:space="preserve">MUNICIPIO DE AMARGOSA</t>
  </si>
  <si>
    <t xml:space="preserve">Amargosa</t>
  </si>
  <si>
    <t xml:space="preserve">BA</t>
  </si>
  <si>
    <t xml:space="preserve">Contratação de solução de sistema integrado de gestão documental, protocolo eletrônico e assinatura eletrônica, na modalidade Software como Serviço (SaaS), 100% web e responsivo, com fornecimento de licenças de uso e ser</t>
  </si>
  <si>
    <t xml:space="preserve">https://pncp.gov.br/app/contratos/contratos/13825484000150/2025/217</t>
  </si>
  <si>
    <t xml:space="preserve">MUNICIPIO DE ORLEANS</t>
  </si>
  <si>
    <t xml:space="preserve">Orleans</t>
  </si>
  <si>
    <t xml:space="preserve">CONTRATAÇÃO DE EMPRESA ESPECIALIZADA PARA FORNECIMENTO DE PLATAFORMA DIGITAL DE GESTÃO DOCUMENTAL, EM FORMATO SAAS (SOFTWARE COMO SERVIÇO), PARA GERENCIAMENTO ELETRÔNICO DE DOCUMENTOS, PROCESSOS E COMUNICAÇÕES NO ÂMBITO </t>
  </si>
  <si>
    <t xml:space="preserve">https://pncp.gov.br/app/contratos/contratos/82926544000143/2026/81</t>
  </si>
  <si>
    <t xml:space="preserve">[LICITANET] - Contratação de serviços de sistema informatizado integrado e oficial de comunicação interna e externa, gestão documental e central de atendimento em formato SaaS para gerenciamento eletrônico de documento m</t>
  </si>
  <si>
    <t xml:space="preserve">https://pncp.gov.br/app/contratos/contratos/04873600000115/2026/119</t>
  </si>
  <si>
    <t xml:space="preserve">MUNICIPIO DE RUBIATABA</t>
  </si>
  <si>
    <t xml:space="preserve">Rubiataba</t>
  </si>
  <si>
    <t xml:space="preserve">GO</t>
  </si>
  <si>
    <t xml:space="preserve">CONTRATO 161/26, PROCESSO 4308/26, PREGÃO 010/25, ATA 01/2026, CONTRATAÇÃO DE EMPRESA ESPECIALIZADA NO FORNECIMENTO DE SOLUÇÃO EM NUVEM, NO MODELO SAAS, DISPONIBILIZAÇÃO DE SISTEMA DE GESTÃO DE PROCESSOS DIGITAIS E MÓDUL</t>
  </si>
  <si>
    <t xml:space="preserve">https://pncp.gov.br/app/contratos/contratos/02382836000123/2026/122</t>
  </si>
  <si>
    <t xml:space="preserve">MUNICIPIO DE SAO SEPE</t>
  </si>
  <si>
    <t xml:space="preserve">São Sepé</t>
  </si>
  <si>
    <t xml:space="preserve">Sistema informatizado em formato SaaS para gerenciamento eletrônico de documentos multiuso, com usuários externos e internos ilimitados com seguintes módulos: Memorando, Circular, Ouvidoria Digital, Protocolo Eletrônico,</t>
  </si>
  <si>
    <t xml:space="preserve">https://pncp.gov.br/app/contratos/contratos/97229181000164/2025/1</t>
  </si>
  <si>
    <t xml:space="preserve">MUNICIPIO DE PILAR</t>
  </si>
  <si>
    <t xml:space="preserve">Pilar</t>
  </si>
  <si>
    <t xml:space="preserve">AL</t>
  </si>
  <si>
    <t xml:space="preserve">Contratação de empresa especializada para a implantação de sistema informatizado integrado e oficial em modelo saas (software como serviço}), mediante a padronização e transparência da comunicação interna e externa, gest</t>
  </si>
  <si>
    <t xml:space="preserve">https://pncp.gov.br/app/contratos/contratos/12200150000128/2026/57</t>
  </si>
  <si>
    <t xml:space="preserve">INSTITUICAO DE COOPERACAO INTERMUNICIPAL DO MEDIO PARAOPEBA</t>
  </si>
  <si>
    <t xml:space="preserve">São Joaquim de Bicas</t>
  </si>
  <si>
    <t xml:space="preserve">MG</t>
  </si>
  <si>
    <t xml:space="preserve">Contratação de empresa especializada para disponibilização de sistema informatizado integrado e oficial de comunicação interna, externa, gestão documental e central de atendimento com módulos memorando, circular, ouvidor</t>
  </si>
  <si>
    <t xml:space="preserve">https://pncp.gov.br/app/contratos/contratos/05802877000110/2024/20</t>
  </si>
  <si>
    <t xml:space="preserve">MUNICIPIO DE MARTINOPOLIS</t>
  </si>
  <si>
    <t xml:space="preserve">Martinópolis</t>
  </si>
  <si>
    <t xml:space="preserve">Contratação de empresa especializada para a prestação de serviços de locação de sistema integrado e oficial de comunicação interna, externa, gestão documental e central de atendimento, com no mínimo os seguintes módulos:</t>
  </si>
  <si>
    <t xml:space="preserve">https://pncp.gov.br/app/contratos/contratos/44855443000130/2025/41</t>
  </si>
  <si>
    <t xml:space="preserve">MUNICIPIO DE ANGATUBA</t>
  </si>
  <si>
    <t xml:space="preserve">Angatuba</t>
  </si>
  <si>
    <t xml:space="preserve">Contratação de empresa especializada na prestação de serviços de locação de sistema web, com fornecimento de licença de uso em formato SaaS para gestão eletrônica de documentos e processos digitais, com os respectivos se</t>
  </si>
  <si>
    <t xml:space="preserve">https://pncp.gov.br/app/contratos/contratos/46634234000191/2025/52</t>
  </si>
  <si>
    <t xml:space="preserve">MUNICIPIO DE BRACO DO NORTE</t>
  </si>
  <si>
    <t xml:space="preserve">Braço do Norte</t>
  </si>
  <si>
    <t xml:space="preserve">CONTRATAÇÃO DE EMPRESA ESPECIALIZADA PARA PRESTAÇÃO DE SERVIÇO DE LOCAÇÃO COM FORNECIMENTO DE LICENÇA DE USO DE SISTEMA WEB EM FORMATO SAAS PARA GESTÃO DA COMUNICAÇÃO DIGITAL INTERNA E EXTERNA, COM ACESSO SIMULTÂNEO DE 2</t>
  </si>
  <si>
    <t xml:space="preserve">https://pncp.gov.br/app/contratos/contratos/82926551000145/2024/2141</t>
  </si>
  <si>
    <t xml:space="preserve">MUNICIPIO DE TORITAMA</t>
  </si>
  <si>
    <t xml:space="preserve">Toritama</t>
  </si>
  <si>
    <t xml:space="preserve">Constitui objeto do presente instrumento a Contratação de empresa especializada para disponibilização e operacionalização de sistema informatizado integrado de Comunicação Interna e Externa, Gestão Documental e Central d</t>
  </si>
  <si>
    <t xml:space="preserve">https://pncp.gov.br/app/contratos/contratos/11256054000139/2026/16</t>
  </si>
  <si>
    <t xml:space="preserve">MUNICIPIO DE SANTA CRUZ CABRALIA</t>
  </si>
  <si>
    <t xml:space="preserve">Santa Cruz Cabrália</t>
  </si>
  <si>
    <t xml:space="preserve">ADESÃO A ATA DE REGISTRO DE PREÇOS Nº 04/2024 DO CISPAR - CONSÓRCIO PÚBLICO INTERMUNICIPAL DE DESENVOLVIMENTO SUSTENTÁVEL DO ALTO PARANAÍBA, PARA A CONTRATAÇÃO DE EMPRESA ESPECIALIZADA PARA A DISPONIBILIZAÇÃO DE SISTEMA </t>
  </si>
  <si>
    <t xml:space="preserve">https://pncp.gov.br/app/contratos/contratos/13635008000176/2025/6</t>
  </si>
  <si>
    <t xml:space="preserve">MUNICIPIO DE BELA VISTA</t>
  </si>
  <si>
    <t xml:space="preserve">Bela Vista</t>
  </si>
  <si>
    <t xml:space="preserve">Pregão - Presencial</t>
  </si>
  <si>
    <t xml:space="preserve">Adesão a Ata de Registro de Preços nº 04/2024, referente ao Pregão Eletrônico nº 02/2024, gerenciada pelo CISPAR - Consórcio Público Intermunicipal de Desenvolvimento Sustentável do Alto Paranaíba, com objetivo de contra</t>
  </si>
  <si>
    <t xml:space="preserve">https://pncp.gov.br/app/contratos/contratos/03217916000196/2025/75</t>
  </si>
  <si>
    <t xml:space="preserve">MUNICIPIO DE MARIALVA</t>
  </si>
  <si>
    <t xml:space="preserve">Marialva</t>
  </si>
  <si>
    <t xml:space="preserve">Contratação de empresa especializada para a prestação de serviço no fornecimento em software de gestão para atender a demanda do munícipio de Marialva – PR, com fulcro no Caput do Artigo nº 75, da Lei 14.133/2021, por me</t>
  </si>
  <si>
    <t xml:space="preserve">https://pncp.gov.br/app/contratos/contratos/76282680000145/2024/353</t>
  </si>
  <si>
    <t xml:space="preserve">MUNICIPIO DE TABIRA</t>
  </si>
  <si>
    <t xml:space="preserve">Tabira</t>
  </si>
  <si>
    <t xml:space="preserve">Adesão a Ata de Registro de Preço nº 003/2026 (Processo Administrativo nº 021/2025 - Pregão Eletrônico nº 010/2025) cujo orgão gerenciador é o Consórcio Intermunicipal Multifinalitário de Minas Gerais (COMGRANBEL), para </t>
  </si>
  <si>
    <t xml:space="preserve">https://pncp.gov.br/app/contratos/contratos/10349041000141/2026/28</t>
  </si>
  <si>
    <t xml:space="preserve">MUNICIPIO DE APARECIDA DO TABOADO</t>
  </si>
  <si>
    <t xml:space="preserve">Aparecida do Taboado</t>
  </si>
  <si>
    <t xml:space="preserve">CONTRATAÇÃO DE EMPRESA ESPECIALIZADA EM PRESTAÇÃO DE SOLUÇÃO DE SOFTWARE DE TRAMITAÇÃO E GERENCIAMENTO DE DOCUMENTOS E PROCESSOS, EM ATENDIMENTO ÀS NECESSIDADES DA SECRETARIA MUNICIPAL DE ADMINISTRAÇÃO</t>
  </si>
  <si>
    <t xml:space="preserve">https://pncp.gov.br/app/contratos/contratos/03563335000106/2025/46</t>
  </si>
  <si>
    <t xml:space="preserve">MUNICIPIO DE SAO MIGUEL D'OESTE</t>
  </si>
  <si>
    <t xml:space="preserve">São Miguel do Oeste</t>
  </si>
  <si>
    <t xml:space="preserve">CONTRATAÇÃO DE EMPRESA PARA PRESTAÇÃO DE SERVIÇOS DE LOCAÇÃO DE SOFTWARE INFORMATIZADO INTEGRADO E OFICIAL DE COMUNICAÇÃO INTERNA, EXTERNA, GESTÃO DOCUMENTAL E CENTRAL COM MÓDULOS PARA ATENDER AS NECESSIDADES DA ADMINIST</t>
  </si>
  <si>
    <t xml:space="preserve">https://pncp.gov.br/app/contratos/contratos/82821174000180/2026/1409</t>
  </si>
  <si>
    <t xml:space="preserve">MUNICIPIO DE SAO JOAO BATISTA</t>
  </si>
  <si>
    <t xml:space="preserve">São João Batista</t>
  </si>
  <si>
    <t xml:space="preserve">ADESÃO À ATA DE REGISTO DE PREÇOS Nº 04/2024, DECORRENTE DO PREGÃO ELETRÔNICO SRP Nº 02/2024, GERENCIADA PELO CONSORCIO PÚBLICO INTERMUNICIPAL DE DESENVOLVIMENTO SUSTENTÁVEL DO ALTO PARANAÍBA – CISPAR, CUJO OBJETO É REGI</t>
  </si>
  <si>
    <t xml:space="preserve">https://pncp.gov.br/app/contratos/contratos/82925652000100/2025/1185</t>
  </si>
  <si>
    <t xml:space="preserve">MUNICIPIO DE MORENO</t>
  </si>
  <si>
    <t xml:space="preserve">Moreno</t>
  </si>
  <si>
    <t xml:space="preserve">ADESÃO À ATA DE REGISTRO DE PREÇOS Nº 004/2024 DO CONSÓRCIO PÚBLICO INTERMUNICIPAL DE DESENVOLVIMENTO SUSTENTÁVEL DO ALTO PARANAÍBA, QUE TEM COMO FORNECEDOR A EMPRESA 1DOC TECNOLOGIA., REGISTRADA SOB O CNPJ Nº 19.625.833</t>
  </si>
  <si>
    <t xml:space="preserve">https://pncp.gov.br/app/contratos/contratos/11049822000183/2026/4</t>
  </si>
  <si>
    <t xml:space="preserve">MUNICIPIO DE ITAPOLIS</t>
  </si>
  <si>
    <t xml:space="preserve">Itápolis</t>
  </si>
  <si>
    <t xml:space="preserve">Contratação de empresa especializada na prestação de serviço de locação de sistema web, com fornecimento de licença de uso em formato “software as a servisse” (saas), para gestão eletrônica de documentos e processos digi</t>
  </si>
  <si>
    <t xml:space="preserve">https://pncp.gov.br/app/contratos/contratos/49979255000137/2024/64</t>
  </si>
  <si>
    <t xml:space="preserve">MUNICIPIO DE NOVA ESPERANCA</t>
  </si>
  <si>
    <t xml:space="preserve">Nova Esperança</t>
  </si>
  <si>
    <t xml:space="preserve">https://pncp.gov.br/app/contratos/contratos/75730994000109/2026/56</t>
  </si>
  <si>
    <t xml:space="preserve">MUNICIPIO DE MATA DE SAO JOAO</t>
  </si>
  <si>
    <t xml:space="preserve">Mata de São João</t>
  </si>
  <si>
    <t xml:space="preserve">[LICITANET] - [LICITANET] - Contratação de empresa especializada para concessão de licença de uso de software de sistema integrado de comunicação e protocolo, com serviços de migração de dados, implantação, treinamento e</t>
  </si>
  <si>
    <t xml:space="preserve">https://pncp.gov.br/app/contratos/contratos/13805528000180/2025/200</t>
  </si>
  <si>
    <t xml:space="preserve">MUNICIPIO DE REGISTRO</t>
  </si>
  <si>
    <t xml:space="preserve">Registro</t>
  </si>
  <si>
    <t xml:space="preserve">Contratação emergencial de empresa para prestação de serviço de locação de sistema integrado e oficial de Comunicação Interna, Externa, Gestão Documental e Central de Atendimento com módulos: Memorando, circular, ouvidor</t>
  </si>
  <si>
    <t xml:space="preserve">https://pncp.gov.br/app/contratos/contratos/45685872000179/2024/257</t>
  </si>
  <si>
    <t xml:space="preserve">MUNICIPIO DE CAPAO DA CANOA</t>
  </si>
  <si>
    <t xml:space="preserve">Capão da Canoa</t>
  </si>
  <si>
    <t xml:space="preserve">Contratação de empresa especializada para locação de Sistema informatizado integrado e oficial de Comunicação Interna, Externa, Gestão Documental e Central de Atendimento com no mínimo, os módulos: Memorando, Circular, A</t>
  </si>
  <si>
    <t xml:space="preserve">https://pncp.gov.br/app/contratos/contratos/90836693000140/2024/90</t>
  </si>
  <si>
    <t xml:space="preserve">MUNICIPIO DE CONCORDIA</t>
  </si>
  <si>
    <t xml:space="preserve">Concórdia</t>
  </si>
  <si>
    <t xml:space="preserve">contratação de empresa especializada para a prestação de serviços de disponibilização de solução tecnológica em ambiente web (SaaS), visando à continuidade da gestão da comunicação interna, externa e documental das Unida</t>
  </si>
  <si>
    <t xml:space="preserve">https://pncp.gov.br/app/contratos/contratos/83024257000100/2026/800</t>
  </si>
  <si>
    <t xml:space="preserve">MUNICIPIO DE ITAPEMA</t>
  </si>
  <si>
    <t xml:space="preserve">Itapema</t>
  </si>
  <si>
    <t xml:space="preserve">https://pncp.gov.br/app/contratos/contratos/82572207000103/2025/288</t>
  </si>
  <si>
    <t xml:space="preserve">Sistema informatizado integrado e oficial de Comunicação Interna, Externa, Gestão Documental e Central de Atendimento com no mínimo, os módulos: Memorando, Circular, Atendimento, Protocolo e funcionalidades. P.A. 7358/20</t>
  </si>
  <si>
    <t xml:space="preserve">https://pncp.gov.br/app/contratos/contratos/90836693000140/2025/562</t>
  </si>
  <si>
    <t xml:space="preserve">MUNICIPIO DE VISEU</t>
  </si>
  <si>
    <t xml:space="preserve">Viseu</t>
  </si>
  <si>
    <t xml:space="preserve">Contratação de empresa especializada para a implantação de sistema SAAS integrado de gestão documental, protocolo externo e possibilidade de assinatura eletrônica através de certificado digital ICP-Brasil, objetivando at</t>
  </si>
  <si>
    <t xml:space="preserve">https://pncp.gov.br/app/contratos/contratos/04873618000117/2026/9</t>
  </si>
  <si>
    <t xml:space="preserve">CARAGUAPREV</t>
  </si>
  <si>
    <t xml:space="preserve">Caraguatatuba</t>
  </si>
  <si>
    <t xml:space="preserve">3 · 100 a 500 mil</t>
  </si>
  <si>
    <t xml:space="preserve">Contratação de empresa especializada no licenciamento de uso de plataforma web integrada e oficial de comunicação interna e externa, com gestão eletrônica de processos, documentos e central de atendimento, contemplando à</t>
  </si>
  <si>
    <t xml:space="preserve">https://pncp.gov.br/app/contratos/contratos/04332948000103/2023/1</t>
  </si>
  <si>
    <t xml:space="preserve">DEPARTAMENTO DE AGUA E ESGOTO DE SANTA BARBARA D OESTE</t>
  </si>
  <si>
    <t xml:space="preserve">Santa Bárbara d'Oeste</t>
  </si>
  <si>
    <t xml:space="preserve">Dispensa de Licitação 03/2023 - Contratação de sistema web de gestão de documentos.</t>
  </si>
  <si>
    <t xml:space="preserve">https://pncp.gov.br/app/contratos/contratos/54010863000179/2023/1</t>
  </si>
  <si>
    <t xml:space="preserve">DISPENSA DE LICITAÇÃO 03/2023 - CONTRATAÇÃO DE SISTEMA WEB DE GESTÃO DE DOCUMENTOS.</t>
  </si>
  <si>
    <t xml:space="preserve">https://pncp.gov.br/app/contratos/contratos/54010863000179/2023/5</t>
  </si>
  <si>
    <t xml:space="preserve">MUNICIPIO DE RIO VERDE</t>
  </si>
  <si>
    <t xml:space="preserve">Rio Verde</t>
  </si>
  <si>
    <t xml:space="preserve">CONTRATO Nº 162/2024, PROCESSO Nº 57669/2023, PE 90.004/2024, COM VIGÊNCIA DE 36 MESES A CONTAR DA EMISSÃO DA ORDEM DE FORNECIMENTO (CONTRATAÇÃO DE SOFTWARE PARA ATENDIMENTO AS ATIVIDADES FINALÍSTICAS DA AMAE COM OS MÓDU</t>
  </si>
  <si>
    <t xml:space="preserve">https://pncp.gov.br/app/contratos/contratos/02056729000105/2024/271</t>
  </si>
  <si>
    <t xml:space="preserve">GUARUJA PREVIDENCIA</t>
  </si>
  <si>
    <t xml:space="preserve">Guarujá</t>
  </si>
  <si>
    <t xml:space="preserve">Licenciamento de uso de plataforma web integrada e oficial de comunicação interna, externa, com gestão eletrônica de processos, documentos e central de atendimento, contemplando a execução de serviços de implantação, tre</t>
  </si>
  <si>
    <t xml:space="preserve">https://pncp.gov.br/app/contratos/contratos/17391027000155/2025/25</t>
  </si>
  <si>
    <t xml:space="preserve">MUNICIPIO DE PALHOCA</t>
  </si>
  <si>
    <t xml:space="preserve">Palhoça</t>
  </si>
  <si>
    <t xml:space="preserve">Contratação de empresa especializada em locação de software para gestão da comunicação interna, externa, gestão documental e central de atendimento de todas as secretarias, fundos e autarquias do Município de Palhoça.</t>
  </si>
  <si>
    <t xml:space="preserve">https://pncp.gov.br/app/contratos/contratos/82892316000108/2025/791</t>
  </si>
  <si>
    <t xml:space="preserve">MUNICIPIO DE ITUIUTABA</t>
  </si>
  <si>
    <t xml:space="preserve">Ituiutaba</t>
  </si>
  <si>
    <t xml:space="preserve">Contratação de software para gestão de documentos, trâmite e processos internos</t>
  </si>
  <si>
    <t xml:space="preserve">https://pncp.gov.br/app/contratos/contratos/18457218000135/2026/13</t>
  </si>
  <si>
    <t xml:space="preserve">MUNICIPIO DE BRUSQUE</t>
  </si>
  <si>
    <t xml:space="preserve">Brusque</t>
  </si>
  <si>
    <t xml:space="preserve">Contratação de empresa para fornecimento de sistema informatizado na modalidade SaaS oficial de comunicação interna e externa com no mínimo os seguintes módulos: ofício, memorando, circular, processos digitais, incluindo</t>
  </si>
  <si>
    <t xml:space="preserve">https://pncp.gov.br/app/contratos/contratos/83102343000194/2025/3733</t>
  </si>
  <si>
    <t xml:space="preserve">MUNICIPIO DE ATIBAIA</t>
  </si>
  <si>
    <t xml:space="preserve">Atibaia</t>
  </si>
  <si>
    <t xml:space="preserve">CONTRATAÇÃO DE EMPRESA ESPECIALIZADA EM SISTEMA DE COMUNICAÇÃO, ATENDIMENTO E GESTÃO DOCUMENTAL PARA ÓRGÃOS PÚBLICOS</t>
  </si>
  <si>
    <t xml:space="preserve">https://pncp.gov.br/app/contratos/contratos/45279635000108/2024/41</t>
  </si>
  <si>
    <t xml:space="preserve">MUNICIPIO DE CARUARU</t>
  </si>
  <si>
    <t xml:space="preserve">Caruaru</t>
  </si>
  <si>
    <t xml:space="preserve">Contratação emergencial de empresa especializada para a prestação de serviços de cessão de uso de plataforma única e integrada de software em formato SaaS (Software as a Service) 100% web, destinada à Gestão Eletrônica d</t>
  </si>
  <si>
    <t xml:space="preserve">https://pncp.gov.br/app/contratos/contratos/10091536000113/2026/128</t>
  </si>
  <si>
    <t xml:space="preserve">REGIME PROPRIO DE PREVIDENCIA SOCIAL DE SAO JOSE DO RIO PRETO</t>
  </si>
  <si>
    <t xml:space="preserve">São José do Rio Preto</t>
  </si>
  <si>
    <t xml:space="preserve">4 · Acima de 500 mil</t>
  </si>
  <si>
    <t xml:space="preserve">Contratação de solução em modelo SaaS (Software como Serviço) para gestão integrada de documentos e processos eletrônicos. A plataforma deverá incluir funcionalidades de protocolo digital, assinatura eletrônica em confor</t>
  </si>
  <si>
    <t xml:space="preserve">https://pncp.gov.br/app/contratos/contratos/04841899000126/2025/31</t>
  </si>
  <si>
    <t xml:space="preserve">CONSELHO REGIONAL DE EDUCACAO FISICA DA 4 REGIAO</t>
  </si>
  <si>
    <t xml:space="preserve">São Paulo</t>
  </si>
  <si>
    <t xml:space="preserve">Licença de software para tramitação e gestão de documentos, processos eletrônicos, assinatura eletrônica e controle de prazos e fluxo processual, englobando os serviços de instalação, implantação, migração, treinamento, </t>
  </si>
  <si>
    <t xml:space="preserve">https://pncp.gov.br/app/contratos/contratos/03676803000159/2025/60</t>
  </si>
  <si>
    <t xml:space="preserve">MARZAGAO CAMARA MUNICIPAL</t>
  </si>
  <si>
    <t xml:space="preserve">Câmara</t>
  </si>
  <si>
    <t xml:space="preserve">Marzagão</t>
  </si>
  <si>
    <t xml:space="preserve">CONTRATAÇÃO DE PRESTAÇÃO DE SERVIÇOS DE IMPLANTAÇÃO, MANUTENÇÃO E SUPORTE DE LICENÇA DE USO DE SOFTWARE PARA AUTOMATIZAÇÃO DE FLUXOS DE TRABALHO, IMPLEMENTAÇÃO DE GESTÃO ELETRÔNICA DE DOCUMENTOS, VOLTADOS A CRIAÇÃO, TRAM</t>
  </si>
  <si>
    <t xml:space="preserve">https://pncp.gov.br/app/contratos/contratos/00817133000155/2025/40</t>
  </si>
  <si>
    <t xml:space="preserve">CAMARA MUNICIPAL DE VEREADORES DE ITAARA</t>
  </si>
  <si>
    <t xml:space="preserve">Itaara</t>
  </si>
  <si>
    <t xml:space="preserve">Locação de plataforma SaaS para gestão documental, protocolo eletrônico e tramitação de processos administrativos, incluindo atendimento ao cidadão e assinatura digital.</t>
  </si>
  <si>
    <t xml:space="preserve">https://pncp.gov.br/app/contratos/contratos/29803955000169/2026/2</t>
  </si>
  <si>
    <t xml:space="preserve">FORMOSA DO OESTE CAMARA MUNICIPAL</t>
  </si>
  <si>
    <t xml:space="preserve">Formosa do Oeste</t>
  </si>
  <si>
    <t xml:space="preserve">Contratacao de sistema informatizado para gerenciamento eletronico de documentos multiuso  com direito de uso de software integrado  em plataforma 100  web  destinado a comunicacao interna e externa  gestao documental  c</t>
  </si>
  <si>
    <t xml:space="preserve">https://pncp.gov.br/app/contratos/contratos/80403330000167/2026/1</t>
  </si>
  <si>
    <t xml:space="preserve">CAMARA MUNICIPAL CACERES</t>
  </si>
  <si>
    <t xml:space="preserve">Cáceres</t>
  </si>
  <si>
    <t xml:space="preserve">Contratação de empresa especializada para disponibilização de solução tecnológica em ambiente web, na modalidade Software as a Service – SaaS, destinada à gestão eletrônica de documentos e processos administrativos digit</t>
  </si>
  <si>
    <t xml:space="preserve">https://pncp.gov.br/app/contratos/contratos/03960333000150/2026/37</t>
  </si>
  <si>
    <t xml:space="preserve">SALGUEIRO CAMARA MUNICIPAL DE VEREADORES</t>
  </si>
  <si>
    <t xml:space="preserve">Salgueiro</t>
  </si>
  <si>
    <t xml:space="preserve">CONTRATAÇÃO DE EMPRESA VISANDO O FORNECIMENTO DE SOFTWARE PARA TRAMITAÇÃO E GESTÃO DE DOCUMENTOS</t>
  </si>
  <si>
    <t xml:space="preserve">https://pncp.gov.br/app/contratos/contratos/11351350000119/2025/32</t>
  </si>
  <si>
    <t xml:space="preserve">CAMARA MUNICIPAL DE CAJATI</t>
  </si>
  <si>
    <t xml:space="preserve">Cajati</t>
  </si>
  <si>
    <t xml:space="preserve">Contratação de empresa especializa para fornecimento de Sistema Informatizado em formato SaaS integrado de gestão documental, protocolo externo e assinatura eletrônica e assinatura de documentos com validade jurídica atr</t>
  </si>
  <si>
    <t xml:space="preserve">https://pncp.gov.br/app/contratos/contratos/64037963000142/2024/63</t>
  </si>
  <si>
    <t xml:space="preserve">CAMARA MUNICIPAL DE ANGATUBA</t>
  </si>
  <si>
    <t xml:space="preserve">O objeto da presente dispensa eletrônica é a escolha da proposta mais vantajosa para a contratação de empresa especializada na prestação de serviços de Sistema Informatizado, com fornecimento de licença de uso em formato</t>
  </si>
  <si>
    <t xml:space="preserve">https://pncp.gov.br/app/contratos/contratos/67360818000196/2026/3</t>
  </si>
  <si>
    <t xml:space="preserve">IMBITUBA CAMARA MUNICIPAL</t>
  </si>
  <si>
    <t xml:space="preserve">Imbituba</t>
  </si>
  <si>
    <t xml:space="preserve">Contratação de empresa especializada para prestação de serviço de sistema para gestão eletrônica de documentos, elaboração, tramitação, certificação eletrônica, controle de atendimento de demandas internas e externas, co</t>
  </si>
  <si>
    <t xml:space="preserve">https://pncp.gov.br/app/contratos/contratos/79680005000162/2024/87</t>
  </si>
  <si>
    <t xml:space="preserve">CAMARA MUNICIPAL DE CHAPADAO DO SUL - MS</t>
  </si>
  <si>
    <t xml:space="preserve">Chapadão do Sul</t>
  </si>
  <si>
    <t xml:space="preserve">CONTRATAÇÃO DE LICENÇA E DIREITO DE USO MENSAL DE SOFTWARE DE SISTEMA INFORMATIZADO INTEGRADO E OFICIAL DE COMUNICAÇÃO INTERNA, EXTERNA, GESTÃO DOCUMENTAL, CENTRAL DE ATENDIMENTO COM MÓDULOS: MEMORANDO, CIRCULAR, OUVIDOR</t>
  </si>
  <si>
    <t xml:space="preserve">https://pncp.gov.br/app/contratos/contratos/05443531000172/2021/1</t>
  </si>
  <si>
    <t xml:space="preserve">JARAGUA DO SUL CAMARA DE VEREADORES</t>
  </si>
  <si>
    <t xml:space="preserve">Jaraguá do Sul</t>
  </si>
  <si>
    <t xml:space="preserve">Contratação de serviços de de licença anual de software de gestão documental, protocolo externo e assinatura eletrônica para Câmara Municipal, conforme condições e exigências estabelecidas neste instrumento.</t>
  </si>
  <si>
    <t xml:space="preserve">https://pncp.gov.br/app/contratos/contratos/83539643000135/2025/63</t>
  </si>
  <si>
    <t xml:space="preserve">CAMARA MUNICIPAL DE PIRAQUARA</t>
  </si>
  <si>
    <t xml:space="preserve">Piraquara</t>
  </si>
  <si>
    <t xml:space="preserve">Contratação de empresa especializada em locação do software: Sistema de Processo Digital Sistema SaaS integrado de gestão documental, protocolo externo e possibilidade de assinatura eletrônica através de certificado digi</t>
  </si>
  <si>
    <t xml:space="preserve">https://pncp.gov.br/app/contratos/contratos/17757258000130/2026/4</t>
  </si>
  <si>
    <t xml:space="preserve">TRES LAGOAS CAMARA MUNICIPAL</t>
  </si>
  <si>
    <t xml:space="preserve">Três Lagoas</t>
  </si>
  <si>
    <t xml:space="preserve">Contratação de serviços técnicos especializados na área de tecnologia da informação para fornecimento de LICENÇA DE USO DE SOFTWARE DE GERENCIAMENTO DE PROCESSO ELETRÔNICO COM ASSINATURA DIGITAL, bem como, prestação de s</t>
  </si>
  <si>
    <t xml:space="preserve">https://pncp.gov.br/app/contratos/contratos/15410145000138/2026/10</t>
  </si>
  <si>
    <t xml:space="preserve">ARACAJU CAMARA MUNICIPAL</t>
  </si>
  <si>
    <t xml:space="preserve">Aracaju</t>
  </si>
  <si>
    <t xml:space="preserve">SE</t>
  </si>
  <si>
    <t xml:space="preserve">CONTRATAÇÃO DE EMPRESA ESPECIALIZADA PARA PRESTAÇÃO DE SERVIÇOS DE LOCAÇÃO DE LICENÇA DE SISTEMA ELETRÔNICO DE PROTOCOLO DIGITAL, COM IMPLANTAÇÃO, TREINAMENTO, MANUTENÇÃO E DISPONIBILIZAÇÃO DOS ARQUIVOS GERADOS, PARA ATE</t>
  </si>
  <si>
    <t xml:space="preserve">https://pncp.gov.br/app/contratos/contratos/13167804000121/2026/4</t>
  </si>
  <si>
    <t xml:space="preserve">SERVICO AUTONOMO DE AGUA E ESGOTO</t>
  </si>
  <si>
    <t xml:space="preserve">Autarquia/Fundação</t>
  </si>
  <si>
    <t xml:space="preserve">Carmo da Mata</t>
  </si>
  <si>
    <t xml:space="preserve">Contratação de empresa para fornecimento, implantação e manutenção de sistema de gestão eletrônica de documentos, processos administrativos e controle de atendimentos, no modelo SaaS (Software as a Service), incluindo mó</t>
  </si>
  <si>
    <t xml:space="preserve">https://pncp.gov.br/app/contratos/contratos/19405760000107/2026/5</t>
  </si>
  <si>
    <t xml:space="preserve">INSTITUTO DE PREVIDENCIA DO MUNICIPIO DE MAFRA</t>
  </si>
  <si>
    <t xml:space="preserve">Mafra</t>
  </si>
  <si>
    <t xml:space="preserve">contratação de  sistema informatizado para gerenciamento eletrônico de documentos multi-uso, comtemplando os módulos, memorando, circular, ouvidoria digital, protocolo eletrônico, pedido e-SIC, oficio eletrônico, process</t>
  </si>
  <si>
    <t xml:space="preserve">https://pncp.gov.br/app/contratos/contratos/97457071000150/2023/1</t>
  </si>
  <si>
    <t xml:space="preserve">FUNDACAO EDUCACIONAL DO MUNICIPIO DE ASSIS</t>
  </si>
  <si>
    <t xml:space="preserve">Assis</t>
  </si>
  <si>
    <t xml:space="preserve">CONTRATAÇÃO DE UMA EMPRESA ESPECIALIZADA NA DISPONIBILIZAÇÃO E MANUTENÇÃO DE UMA PLATAFORMA WEB PARA OTIMIZAR OS PROCESSOS DE COMUNICAÇÃO, ATENDIMENTO E GESTÃO DOCUMENTAL PARA ÓRGÃOS PÚBLICOS</t>
  </si>
  <si>
    <t xml:space="preserve">https://pncp.gov.br/app/contratos/contratos/51501559000136/2024/3</t>
  </si>
  <si>
    <t xml:space="preserve">INSTITUTO DE PREVIDENCIA MUNICIPAL DE LIMEIRA - IPML</t>
  </si>
  <si>
    <t xml:space="preserve">Limeira</t>
  </si>
  <si>
    <t xml:space="preserve">CONTRATAÇÃO DE SOLUÇÃO EM MODELO SAAS (SOFTWARE COMO SERVIÇO) PARA GESTÃO INTEGRADA DE DOCUMENTOS E PROCESSOS ELETRÔNICOS. A PLATAFORMA DEVERÁ INCLUIR FUNCIONALIDADES DE PROTOCOLO DIGITAL, ASSINATURA ELETRÔNICA EM CONFOR</t>
  </si>
  <si>
    <t xml:space="preserve">https://pncp.gov.br/app/contratos/contratos/09626556000162/2026/10</t>
  </si>
  <si>
    <t xml:space="preserve">Itaúna</t>
  </si>
  <si>
    <t xml:space="preserve">Contratação de empresa especializada na prestação de serviços em tecnologia da informação para fornecimento de solução de processos digitais, incluindo software de gestão de documentos, automação de fluxos de trabalho e </t>
  </si>
  <si>
    <t xml:space="preserve">https://pncp.gov.br/app/contratos/contratos/21260443000191/2025/93</t>
  </si>
  <si>
    <t xml:space="preserve">SERVICO AUTONOMO MUNICIPAL DE AGUA E ESGOTO</t>
  </si>
  <si>
    <t xml:space="preserve">CONTRATAÇÃO EMERGENCIAL DE EMPRESA PARA PRESTAÇÃO DE SERVIÇO DE LOCAÇÃO DE SISTEMA INTEGRADO E OFICIAL DE COMUNICAÇÃO INTERNA, EXTERNA, GESTÃO DOCUMENTAL E CENTRAL DE ATENDIMENTO COM MÓDULOS: MEMORANDO, CIRCULAR, ATENDIM</t>
  </si>
  <si>
    <t xml:space="preserve">https://pncp.gov.br/app/contratos/contratos/84438381000185/2024/175</t>
  </si>
  <si>
    <t xml:space="preserve">Contratação de empresa especializada para disponibilização, operação, suporte e manutenção de plataforma WEB em ambiente seguro, destinada à comunicação institucional, atendimento ao cidadão, gestão documental eletrônica</t>
  </si>
  <si>
    <t xml:space="preserve">https://pncp.gov.br/app/contratos/contratos/51501559000136/2025/52</t>
  </si>
  <si>
    <t xml:space="preserve">INSTITUTO DE PREVIDENCIA MUNICIPAL DE GOV. VALADARES</t>
  </si>
  <si>
    <t xml:space="preserve">Governador Valadares</t>
  </si>
  <si>
    <t xml:space="preserve">CONTRATAÇÃO DE EMPRESA ESPECIALIZADA PARA DISPONIBILIZAÇÃO DE SISTEMA INFORMATIZADO INTEGRADO E OFICIAL DE COMUNICAÇÃO INTERNA, EXTERNA, GESTÃO DOCUMENTAL E CENTRAL DE ATENDIMENTO COM MÓDULOS: MEMORANDO, IFÍCIO ELETRÔNIC</t>
  </si>
  <si>
    <t xml:space="preserve">https://pncp.gov.br/app/contratos/contratos/86813953000194/2025/36</t>
  </si>
  <si>
    <t xml:space="preserve">AGENCIA REGULADORA INTERMUNICIPAL DE SANEAMENTO BASICO DE MINAS GERAIS</t>
  </si>
  <si>
    <t xml:space="preserve">Belo Horizonte</t>
  </si>
  <si>
    <t xml:space="preserve">Contratação emergencial de empresa especializada para fornecimento de solução integrada de Gestão Eletrônica de Documentos GED, tramitação eletrônica de processos administrativos, comunicação institucional e sistema de o</t>
  </si>
  <si>
    <t xml:space="preserve">https://pncp.gov.br/app/contratos/contratos/20928303000186/2026/15</t>
  </si>
  <si>
    <t xml:space="preserve">AGENCIA REGULADORA INTERMUNICIPAL DE SANEAMENTO - ARIS</t>
  </si>
  <si>
    <t xml:space="preserve">Florianópolis</t>
  </si>
  <si>
    <t xml:space="preserve">Contratação de solução integrada de gestão digital institucional, em modelo SaaS (Software as a Service), destinada à gestão digital de processos administrativos, comunicados regulatórios, protocolo externo institucional</t>
  </si>
  <si>
    <t xml:space="preserve">https://pncp.gov.br/app/contratos/contratos/11400360000105/2026/10</t>
  </si>
  <si>
    <t xml:space="preserve">CONSORCIO INTERMUNICIPAL DE SANEAMENTO DA SERRA DE SANTANA</t>
  </si>
  <si>
    <t xml:space="preserve">Consórcio</t>
  </si>
  <si>
    <t xml:space="preserve">Lagoa Nova</t>
  </si>
  <si>
    <t xml:space="preserve">CONTRATAÇÃO DE EMPRESA ESPECIALIZADA PARA PRESTAÇÃO DE SERVIÇO DE SISTEMA PARA GESTÃO ELETRÔNICA DE DOCUMENTOS, ELABORAÇÃO, TRAMITAÇÃO, CERTIFICAÇÃO ELETRÔNICA, CONTROLE DE ATENDIMENTO DE DEMANDAS INTERNAS E EXTERNAS, CO</t>
  </si>
  <si>
    <t xml:space="preserve">https://pncp.gov.br/app/contratos/contratos/08313923000105/2025/5</t>
  </si>
  <si>
    <t xml:space="preserve">https://pncp.gov.br/app/contratos/contratos/08313923000105/2025/4</t>
  </si>
  <si>
    <t xml:space="preserve">CONSORCIO MULTIFINALITARIO DO BAIXO JEQUITINHONHA</t>
  </si>
  <si>
    <t xml:space="preserve">Jacinto</t>
  </si>
  <si>
    <t xml:space="preserve">Contratação de empresa especializada para a prestação de serviços de sistema de gestão eletrônica de documentos, incluindo elaboração, tramitação, certificação eletrônica e controle do atendimento de demandas internas e </t>
  </si>
  <si>
    <t xml:space="preserve">https://pncp.gov.br/app/contratos/contratos/07306549000158/2025/67</t>
  </si>
  <si>
    <t xml:space="preserve">CONSORCIO INTERMUNICIPAL DE DESENVOLVIMENTO SUSTENTAVEL DA REGIAO DOS CAMPOS DE CIMA DA SERRA - CONDESUS</t>
  </si>
  <si>
    <t xml:space="preserve">Vacaria</t>
  </si>
  <si>
    <t xml:space="preserve">Contratação de empresa especializada para fornecimento de Software de Gestão de Processos Eletrônicos, conforme especificações mínimas contidas neste instrumento, para atendimento das necessidades do Consórcio Intermunic</t>
  </si>
  <si>
    <t xml:space="preserve">https://pncp.gov.br/app/contratos/contratos/04712762000171/2025/1</t>
  </si>
  <si>
    <t xml:space="preserve">https://pncp.gov.br/app/contratos/contratos/04712762000171/2026/4</t>
  </si>
  <si>
    <t xml:space="preserve">CONSORCIO INTERMUNICIPAL MULTIFINALITARIO DA AMNOROESTE</t>
  </si>
  <si>
    <t xml:space="preserve">São Lourenço do Oeste</t>
  </si>
  <si>
    <t xml:space="preserve">Contratação e serviços de utilização de sistema (em formato SaaS) informatizado integrado web de comunicação, atendimento e gestão documental para atender a administração do CIMAM. Parametrização e Implantação do Sistema</t>
  </si>
  <si>
    <t xml:space="preserve">https://pncp.gov.br/app/contratos/contratos/46335839000181/2025/8</t>
  </si>
  <si>
    <t xml:space="preserve">CONSORCIO INTERMUNICIPAL DE SANEAMENTO BASICO DA ZONA DA MATA DE MINAS GERAIS - CISAB ZONA DA MATA</t>
  </si>
  <si>
    <t xml:space="preserve">Viçosa</t>
  </si>
  <si>
    <t xml:space="preserve">CONTRATAÇÃO DE EMPRESA ESPECIALIZADA PARA PRESTAÇÃO DE SERVIÇO DE SISTEMA PARA GESTÃO ELETRÔNICA DE DOCUMENTOS, ELABORAÇÃO, TRAMITAÇÃO, CERTIFICAÇÃO ELETRÔNICA, CONTROLE DE ATENDIMENTO DE DEMANDAS INTERNAS E EXTERNAS</t>
  </si>
  <si>
    <t xml:space="preserve">https://pncp.gov.br/app/contratos/contratos/10331797000163/2026/13</t>
  </si>
  <si>
    <t xml:space="preserve">CONSORCIO INTERMUNICIPAL MULTIFINALITARIO DE GESTAO PUBLICA DOS MUNICIPIOS DO CENTRO OESTE MINEIRO - CIMGEP</t>
  </si>
  <si>
    <t xml:space="preserve">Abaeté</t>
  </si>
  <si>
    <t xml:space="preserve">Contratação de empresa especializada para prestação de serviço de disponibilização de sistema informatizado integrado e oficial de comunicação interna, externa, gestão documental e central de atendimento com módulos memo</t>
  </si>
  <si>
    <t xml:space="preserve">https://pncp.gov.br/app/contratos/contratos/53255914000160/2024/3</t>
  </si>
  <si>
    <t xml:space="preserve">CONSORCIO INT. DE SAUDE DA 22 REG. DE SAUDE DE IVAIPORA.</t>
  </si>
  <si>
    <t xml:space="preserve">Maringá</t>
  </si>
  <si>
    <t xml:space="preserve">SISTEMA DE GESTÃO DE DOCUMENTOS E PROCESSOS ELETRÔNICOS, COMUNICAÇÃO INTERNA ATENDIMENTO NO SISTEMA REGIME SOFTWARE COMO SERVIÇO (SAAS), INCLUINDO TODOS OS SERVIÇOS DE SUSTENTAÇÃO DA FERRAMENTA, SUPORTE, IMPLANTAÇÃO E AR</t>
  </si>
  <si>
    <t xml:space="preserve">https://pncp.gov.br/app/contratos/contratos/02586019000197/2024/8</t>
  </si>
  <si>
    <t xml:space="preserve">CONSORCIO INTERMUNICIPAL DE DESENVOLVIMENTO REGIONAL - CONDER</t>
  </si>
  <si>
    <t xml:space="preserve">CONTRATAÇÃO DE EMPRESA ESPECIALIZADA PARA PRESTAÇÃO DE SERVIÇOS PARA LICENÇA DE USO DA PLATAFORMA 1DOC E APP DE FISCALIZAÇÃO EM CAMPO (OFF-LINE), ALÉM DE SERVIÇOS DE CONSULTORIA E ASSISTÊNCIA TÉCNICA PARA OS MÓDULOS DE M</t>
  </si>
  <si>
    <t xml:space="preserve">https://pncp.gov.br/app/contratos/contratos/23773012000154/2023/7</t>
  </si>
  <si>
    <t xml:space="preserve">CONTRATAÇÃO DE EMPRESA ESPECIALIZADA PARA PRESTAÇÃO DE SERVIÇOS PARA LICENÇA DE USO DE PLATAFORMA ONLINE PARA FINS DE TRAMITAÇÃO DE DOCUMENTOS VINCULADOS AO LICENCIAMENTO AMBIENTAL E APLICATIVO DE FISCALIZAÇÃO A CAMPO, P</t>
  </si>
  <si>
    <t xml:space="preserve">https://pncp.gov.br/app/contratos/contratos/23773012000154/2025/107</t>
  </si>
  <si>
    <t xml:space="preserve">CONSORCIO INTERMUNICIPAL DE SAUDE DO OESTE DE SC</t>
  </si>
  <si>
    <t xml:space="preserve">Chapecó</t>
  </si>
  <si>
    <t xml:space="preserve">CONTRATACAO EMPRESA ESPECIALIZADA PARA PRESTACAO DE SERVICOS DE SISTEMA INFORMATIZADO INTEGRADO WEB DE COMUNICAO  ATENDIMENTO E GESTAO DOCUMENTAL </t>
  </si>
  <si>
    <t xml:space="preserve">https://pncp.gov.br/app/contratos/contratos/01336261000140/2024/251</t>
  </si>
  <si>
    <t xml:space="preserve">CONSORCIO INTERMUNICIPAL MULTIFINALITARIO DA AREA MINEIRA DA SUDENE</t>
  </si>
  <si>
    <t xml:space="preserve">Montes Claros</t>
  </si>
  <si>
    <t xml:space="preserve">CONTRATAÇÃO DE EMPRESA ESPECIALIZADA PARA A  PRESTAÇÃO DE SERVIÇOS TÉCNICOS DE TECNOLOGIA DA INFORMAÇÃO,  DESTINADOS À IMPLANTAÇÃO, FORNECIMENTO, MANUTENÇÃO, SUPORTE E  LICENCIAMENTO DE PLATAFORMA INTEGRADA DE GESTÃO DOC</t>
  </si>
  <si>
    <t xml:space="preserve">https://pncp.gov.br/app/contratos/contratos/21505692000108/2026/26</t>
  </si>
  <si>
    <t xml:space="preserve">CONSORCIO INTERMUNICIPAL PARA O DESENVOLVIMENTO AMBIENTAL SUSTENTAVEL DO NORTE DE MINAS CODANORTE</t>
  </si>
  <si>
    <t xml:space="preserve">Contratação de empresa para prestação de serviços para licença de uso de software e serviços de implantação, treinamento e suporte técnico para os módulos: Aplicativo Móvel Para Atendimento; Assinatura Eletrônica Em Lote</t>
  </si>
  <si>
    <t xml:space="preserve">https://pncp.gov.br/app/contratos/contratos/19193527000108/2026/10</t>
  </si>
  <si>
    <t xml:space="preserve">CONSORCIO PUBLICO INTERMUNICIPAL DE DESENVOLVIMENTO SUSTENTAVEL DO ALTO PARANAIBA - CISPAR</t>
  </si>
  <si>
    <t xml:space="preserve">Patos de Minas</t>
  </si>
  <si>
    <t xml:space="preserve">CONTRATAÇÃO DE SOFTWARE ESPECIALIZADO QUE PERMITA A ELABORAÇÃO, EDIÇÃO COLABORATIVA, GESTÃO E TRAMITAÇÃO ELETRÔNICA DE DOCUMENTOS ADMINISTRATIVOS DA PREFEITURA MUNICIPAL DE SANTO ANTÔNIO. A SOLUÇÃO DEVERÁ INCLUIR FUNCION</t>
  </si>
  <si>
    <t xml:space="preserve">https://pncp.gov.br/app/contratos/contratos/20782813000198/2025/1</t>
  </si>
  <si>
    <t xml:space="preserve">CONSORCIO INTERMUNICIPAL ALIANCA PARA A SAUDE CIAS</t>
  </si>
  <si>
    <t xml:space="preserve">Prestação de serviço de licença de software de gestão de processos administrativos digitais para o Consórcio Intermunicipal Aliança para a Saúde  CIAS.</t>
  </si>
  <si>
    <t xml:space="preserve">https://pncp.gov.br/app/contratos/contratos/97550393000149/2024/13</t>
  </si>
  <si>
    <t xml:space="preserve">CONSORCIO INTERMUNICIPAL PARA GESTAO INTEGRADA DOS RESIDUOS SOLIDOS</t>
  </si>
  <si>
    <t xml:space="preserve">Natal</t>
  </si>
  <si>
    <t xml:space="preserve">Contratação de solução tecnológica, na modalidade SaaS (Software como Serviço), visando à disponibilização de plataforma web integrada para gestão documental, protocolo externo, licenciamento ambiental digital, assinatur</t>
  </si>
  <si>
    <t xml:space="preserve">https://pncp.gov.br/app/contratos/contratos/19322223000101/2025/18</t>
  </si>
  <si>
    <t xml:space="preserve">ESTADO DE SAO PAULO</t>
  </si>
  <si>
    <t xml:space="preserve">Estado/Outro</t>
  </si>
  <si>
    <t xml:space="preserve">Piedade</t>
  </si>
  <si>
    <t xml:space="preserve">Contratação de serviço de fornecimento de sistema computadorizado de tramitação de processos e documentos digitais em formato SaaS (Software as a Service) para a Câmara Municipal de Piedade - SP.</t>
  </si>
  <si>
    <t xml:space="preserve">https://pncp.gov.br/app/contratos/contratos/46379400000150/2023/1015</t>
  </si>
  <si>
    <t xml:space="preserve">Indaiatuba</t>
  </si>
  <si>
    <t xml:space="preserve">Contratação de empresa especializada no licenciamento de uso de plataforma web integrada e oficial de comunicação interna, externa, com gestão eletrônica de processos, documentos e central de atendimento, contemplando a </t>
  </si>
  <si>
    <t xml:space="preserve">https://pncp.gov.br/app/contratos/contratos/46379400000150/2022/972</t>
  </si>
  <si>
    <t xml:space="preserve">AQUISIÇÃO DE LICENÇA DE SOFTWARE PARA TRAMITAÇÃO E GESTÃO DE DOCUMENTOS, CONFORME SOLICITAÇÃO DO ADJUNTO ADMINISTRATIVO.</t>
  </si>
  <si>
    <t xml:space="preserve">https://pncp.gov.br/app/contratos/contratos/46379400000150/2025/398</t>
  </si>
  <si>
    <t xml:space="preserve">MUNICIPIO DE POUSO REDONDO</t>
  </si>
  <si>
    <t xml:space="preserve">Pouso Redondo</t>
  </si>
  <si>
    <t xml:space="preserve">Licenciamento de obras e alvaras</t>
  </si>
  <si>
    <t xml:space="preserve">Contratação de solução de software para implantação de processo digital no setor de Planejamento e Meio Ambiente, contemplando funcionalidades para análise de projetos, tramitação eletrônica de processos, gerenciamento e</t>
  </si>
  <si>
    <t xml:space="preserve">https://pncp.gov.br/app/contratos/contratos/83102681000126/2026/518</t>
  </si>
  <si>
    <t xml:space="preserve">MUNICIPIO DE CAFELANDIA</t>
  </si>
  <si>
    <t xml:space="preserve">Cafelândia</t>
  </si>
  <si>
    <t xml:space="preserve">A PRESENTE CONTRATACAO TEM POR OBJETO A CONTRATACAO DE EMPRESA ESPECIALIZADA PARA A PRESTACAO DE SERVICOS E FORNECIMENTO DE LICENCA DE USO TEMPORARIA DE SISTEMA INFORMATIZADO INTEGRADO PARA GESTAO ELETRONICA DE PROCESSOS</t>
  </si>
  <si>
    <t xml:space="preserve">https://pncp.gov.br/app/contratos/contratos/78121878000172/2025/95</t>
  </si>
  <si>
    <t xml:space="preserve">MUNICIPIO DE BRASILANDIA</t>
  </si>
  <si>
    <t xml:space="preserve">Brasilândia</t>
  </si>
  <si>
    <t xml:space="preserve">Contratação de empresa especializada em Tecnologia da Informação e Comunicação (TIC), para fornecimento de licença de direito de uso temporário de “SISTEMA INTEGRADO DE LICENCIAMENTO DE OBRAS E GESTÃO DE PROCESSOS DIGITA</t>
  </si>
  <si>
    <t xml:space="preserve">https://pncp.gov.br/app/contratos/contratos/03184058000120/2025/81</t>
  </si>
  <si>
    <t xml:space="preserve">MUNICIPIO DE GUAPIACU</t>
  </si>
  <si>
    <t xml:space="preserve">Guapiaçu</t>
  </si>
  <si>
    <t xml:space="preserve">Contratação de solução tecnológica completa, fornecida em modelo Software como Serviço (SaaS), para gestão digital de processos de licenciamento urbano, fiscalização, regularização, análise técnica, gestão documental e a</t>
  </si>
  <si>
    <t xml:space="preserve">https://pncp.gov.br/app/contratos/contratos/45728326000178/2026/51</t>
  </si>
  <si>
    <t xml:space="preserve">MUNICIPIO DE JABOTICABAL</t>
  </si>
  <si>
    <t xml:space="preserve">Jaboticabal</t>
  </si>
  <si>
    <t xml:space="preserve">Aquisição de licença de uso de Software (Licenciamento de Obras), 100% acessível via web, para protocolo, análise, fiscalização, gerenciamento, aprovação e emissão de Alvará de Obras, Certificado de Regularização, Certid</t>
  </si>
  <si>
    <t xml:space="preserve">https://pncp.gov.br/app/contratos/contratos/50387844000105/2025/1544</t>
  </si>
  <si>
    <t xml:space="preserve">MUNICIPIO DE PRUDENTOPOLIS</t>
  </si>
  <si>
    <t xml:space="preserve">Prudentópolis</t>
  </si>
  <si>
    <t xml:space="preserve">Aquisicao do uso de licenca e implementacao de um sistema de protocolos digitais, que visa a automacao e digitalizacao dos processos administrativos, com enfase no licenciamento de obras e emissao de alvaras, licencas e </t>
  </si>
  <si>
    <t xml:space="preserve">https://pncp.gov.br/app/contratos/contratos/77003424000134/2025/247</t>
  </si>
  <si>
    <t xml:space="preserve">MUNICIPIO DE JOACABA</t>
  </si>
  <si>
    <t xml:space="preserve">Joaçaba</t>
  </si>
  <si>
    <t xml:space="preserve">Contratação de serviços técnicos especializados para fornecimento de licença de uso temporário de sistema informatizado integrado para gestão eletrônica de processos em nuvem (cloud), com funcionalidades de protocolo, an</t>
  </si>
  <si>
    <t xml:space="preserve">https://pncp.gov.br/app/contratos/contratos/82939380000199/2025/666</t>
  </si>
  <si>
    <t xml:space="preserve">MUNICIPIO DE GASPAR</t>
  </si>
  <si>
    <t xml:space="preserve">Gaspar</t>
  </si>
  <si>
    <t xml:space="preserve">CONTRATAÇÃO DE LICENÇA DE USO DE SISTEMA INTEGRADO CLOUD PARA GESTÃO ELETRÔNICA DE PROCESSOS (PROTOCOLO, ANÁLISE, APROVAÇÃO E EMISSÃO) E FLUXOS DE LICENCIAMENTO (OBRAS, ADM., AMBIENTAL E DEFESA CIVIL).</t>
  </si>
  <si>
    <t xml:space="preserve">https://pncp.gov.br/app/contratos/contratos/83102244000102/2026/473</t>
  </si>
  <si>
    <t xml:space="preserve">MUNICIPIO DE ITU</t>
  </si>
  <si>
    <t xml:space="preserve">Itu</t>
  </si>
  <si>
    <t xml:space="preserve">CONTRATAÇÃO DE EMPRESA ESPECIALIZADA NA PRESTAÇÃO DE SERVIÇOS DE LICENÇA DE USO TEMPORÁRIA, PELO PERÍODO DE 12 (DOZE) MESES, PARA SISTEMA INFORMATIZADO INTEGRADO PARA GESTÃO ELETRÔNICA DE PROCESSOS EM NUVEM (CLOUD), COM </t>
  </si>
  <si>
    <t xml:space="preserve">https://pncp.gov.br/app/contratos/contratos/46634440000100/2025/620</t>
  </si>
  <si>
    <t xml:space="preserve">MUNICIPIO DE CAMBE</t>
  </si>
  <si>
    <t xml:space="preserve">Cambé</t>
  </si>
  <si>
    <t xml:space="preserve">Fornecimento de sistema com soluções digitais para licenciamento completo de obras e fiscalização urbana, que contemple protocolo, análise, aprovação, fiscalização e emissão de diversos documentos através da Internet, pa</t>
  </si>
  <si>
    <t xml:space="preserve">https://pncp.gov.br/app/contratos/contratos/75732057000184/2024/254</t>
  </si>
  <si>
    <t xml:space="preserve">MUNICIPIO DE SANTA CRUZ DO SUL</t>
  </si>
  <si>
    <t xml:space="preserve">Santa Cruz do Sul</t>
  </si>
  <si>
    <t xml:space="preserve">Contratação de empresa especializada em fornecimento de sistema de tramitação digital de licenciamento de obras da Secretaria de Planejamento e Mobilidade Urbana - SEPLAN</t>
  </si>
  <si>
    <t xml:space="preserve">https://pncp.gov.br/app/contratos/contratos/95440517000108/2026/9</t>
  </si>
  <si>
    <t xml:space="preserve">MUNICIPIO DE PATOS DE MINAS</t>
  </si>
  <si>
    <t xml:space="preserve">[LICITANET] - [LICITANET] - CONTRATAÇÃO DE SISTEMA INFORMATIVO DESTINADO A PROVER À POPULAÇÃO FERRAMENTAS MODERNAS PARA A TRAMITAÇÃO DE ANUÊNCIAS, PERMISSÕES, SOLICITAÇÕES E PROCESSOS ADMINISTRATIVOS PERANTE A ADMINISTRA</t>
  </si>
  <si>
    <t xml:space="preserve">https://pncp.gov.br/app/contratos/contratos/18602011000107/2025/168</t>
  </si>
  <si>
    <t xml:space="preserve">MUNICIPIO DE CRICIUMA</t>
  </si>
  <si>
    <t xml:space="preserve">Criciúma</t>
  </si>
  <si>
    <t xml:space="preserve">Aquisição de sistema de tramitação de licenciamentos de obras/projetos municipais, com análise técnica e validações automáticas, em atendimento das demandas do Município de Criciúma/SC.</t>
  </si>
  <si>
    <t xml:space="preserve">https://pncp.gov.br/app/contratos/contratos/82916818000113/2025/18</t>
  </si>
  <si>
    <t xml:space="preserve">CONSORCIO INTERMUNICIPAL DO MEDIO VALE DO ITAJAI</t>
  </si>
  <si>
    <t xml:space="preserve">Timbó</t>
  </si>
  <si>
    <t xml:space="preserve">Contratação de empresa especializada para fornecimento de licença de uso (locação) de sistema informatizado de gestão de processos do Serviço de Inspeção Municipal Consorciado, bem como da Gestão de Cultura e Turismo, in</t>
  </si>
  <si>
    <t xml:space="preserve">https://pncp.gov.br/app/contratos/contratos/03111139000109/2026/3</t>
  </si>
  <si>
    <t xml:space="preserve">MUNICIPIO DE SAO JOAO DO OESTE</t>
  </si>
  <si>
    <t xml:space="preserve">São João do Oeste</t>
  </si>
  <si>
    <t xml:space="preserve">Atendimento e relacionamento com o cidadao</t>
  </si>
  <si>
    <t xml:space="preserve">Contratação direta, com fundamento no art. 74, inciso I, da Lei nº 14.133/2021, do fornecimento de licença de uso do software na modalidade SaaS (Software as a Service) denominado Plataforma Gove, ferramenta integrada de gestão do</t>
  </si>
  <si>
    <t xml:space="preserve">https://pncp.gov.br/app/contratos/contratos/80911936000103/2025/980</t>
  </si>
  <si>
    <t xml:space="preserve">MUNICIPIO DE IPE</t>
  </si>
  <si>
    <t xml:space="preserve">Ipê</t>
  </si>
  <si>
    <t xml:space="preserve">Contratacao de software SaaS de gerenciamento e de modernizacao do relacionamento do setor publico com cidadaos e empresas  contemplando funcionalidades de gestao de contatos  de relacionamento ativo e receptivo autonomo via multi</t>
  </si>
  <si>
    <t xml:space="preserve">https://pncp.gov.br/app/contratos/contratos/90544511000167/2025/2236</t>
  </si>
  <si>
    <t xml:space="preserve">MUNICIPIO DE COQUEIRAL</t>
  </si>
  <si>
    <t xml:space="preserve">Coqueiral</t>
  </si>
  <si>
    <t xml:space="preserve">Dados e gestao tributaria</t>
  </si>
  <si>
    <t xml:space="preserve">Contratação de empresa especializada no fornecimento de assinatura de software na modalidade SaaS de gerenciamento e de modernização do relacionamento do setor público com cidadãos e empresas, contemplando funcionalidades de gestã</t>
  </si>
  <si>
    <t xml:space="preserve">https://pncp.gov.br/app/contratos/contratos/18239624000121/2025/19</t>
  </si>
  <si>
    <t xml:space="preserve">MUNICIPIO DE BUENO BRANDAO</t>
  </si>
  <si>
    <t xml:space="preserve">Bueno Brandão</t>
  </si>
  <si>
    <t xml:space="preserve">Contratação da empresa MUOVE BRASIL SA para prestação de serviços de locação do software denominado “GOVE” na modalidade SaaS de modernização do relacionamento do setor público com cidadãos e empresas, contemplando funcionalidades</t>
  </si>
  <si>
    <t xml:space="preserve">https://pncp.gov.br/app/contratos/contratos/18940098000122/2025/116</t>
  </si>
  <si>
    <t xml:space="preserve">MUNICIPIO DE BRACO DO TROMBUDO</t>
  </si>
  <si>
    <t xml:space="preserve">Braço do Trombudo</t>
  </si>
  <si>
    <t xml:space="preserve">Contratação de Solução Tecnológica de Gestão de Atendimento Digital, Comunicação Institucional Multicanal e Centralização Cadastral na Modalidade SaaS de licença de uso, na modalidade Software as a Service (SaaS).</t>
  </si>
  <si>
    <t xml:space="preserve">https://pncp.gov.br/app/contratos/contratos/95952230000167/2026/295</t>
  </si>
  <si>
    <t xml:space="preserve">MUNICIPIO DE TRAJANO DE MORAES</t>
  </si>
  <si>
    <t xml:space="preserve">Trajano de Moraes</t>
  </si>
  <si>
    <t xml:space="preserve">RJ</t>
  </si>
  <si>
    <t xml:space="preserve">Outro / SaaS de gestao</t>
  </si>
  <si>
    <t xml:space="preserve">CONTRATAÇÃO DE EMPRESA ESPECIALIZADA NO FORNECIMENTO DE SOFTWARE SAAS SOFTWARE AS A SERVICE</t>
  </si>
  <si>
    <t xml:space="preserve">https://pncp.gov.br/app/contratos/contratos/29115441000110/2025/188</t>
  </si>
  <si>
    <t xml:space="preserve">MUNICIPIO DE ITAPIRANGA</t>
  </si>
  <si>
    <t xml:space="preserve">Itapiranga</t>
  </si>
  <si>
    <t xml:space="preserve">FORNECIMENTO DE LICENÇA DE USO DO SOFTWARE NA MODALIDADE SAAS (SOFTWARE AS A SERVICE) DENOMINADO PLATAFORMA GOVE, FERRAMENTA INTEGRADA DE GESTÃO DO RELACIONAMENTO ENTRE O SETOR PÚBLICO E OS CIDADÃOS/EMPRESAS, COM FUNCIONALIDADES D</t>
  </si>
  <si>
    <t xml:space="preserve">https://pncp.gov.br/app/contratos/contratos/82821208000136/2025/2026</t>
  </si>
  <si>
    <t xml:space="preserve">MUNICIPIO DE MATINHOS</t>
  </si>
  <si>
    <t xml:space="preserve">Matinhos</t>
  </si>
  <si>
    <t xml:space="preserve">CONTRATAÇÃO DE EMPRESA ESPECIALIZADA NA PRESTAÇÃO DE SERVIÇOS DE GESTÃO DA INFORMAÇÃO PARA OTIMIZAÇÃO DE DADOS CADASTRAIS MUNICIPAIS ATRAVÉS DE SOFTWARE E DISPONIBILIZAÇÃO DE SOFTWARE DE ATENDIMENTO AO CONTRIBUINTE VIA WHATSAPP</t>
  </si>
  <si>
    <t xml:space="preserve">https://pncp.gov.br/app/contratos/contratos/76017466000161/2025/56</t>
  </si>
  <si>
    <t xml:space="preserve">MUNICIPIO DE MORRO DO CHAPEU</t>
  </si>
  <si>
    <t xml:space="preserve">Morro do Chapéu</t>
  </si>
  <si>
    <t xml:space="preserve">Contratação de empresa para prestação de serviços de locação de software na modalidade SAAS (solução tecnológica) para agilizar no atendimento aos contribuintes, através de plataforma de mensagens (whatzapp), para atender as neces</t>
  </si>
  <si>
    <t xml:space="preserve">https://pncp.gov.br/app/contratos/contratos/13717517000148/2025/58</t>
  </si>
  <si>
    <t xml:space="preserve">MUNICIPIO DE VERA CRUZ</t>
  </si>
  <si>
    <t xml:space="preserve">Vera Cruz</t>
  </si>
  <si>
    <t xml:space="preserve">Contratação de software SaaS de gerenciamento e de modernização do relacionamento do setor público com cidadãos e empresas, contemplando funcionalidades de gestão de contatos, de relacionamento ativo e receptivo autônomo via múlti</t>
  </si>
  <si>
    <t xml:space="preserve">https://pncp.gov.br/app/contratos/contratos/13891130000103/2025/9</t>
  </si>
  <si>
    <t xml:space="preserve">MUNICIPIO DE GRAMADO</t>
  </si>
  <si>
    <t xml:space="preserve">Gramado</t>
  </si>
  <si>
    <t xml:space="preserve">Contratação de ferramenta de comunicação multicanal, enriquecimento de dados e informações cadastrais de pessoas e empresas, com o objetivo de atender campanhas de comunicação da Secretaria da Fazenda.</t>
  </si>
  <si>
    <t xml:space="preserve">https://pncp.gov.br/app/contratos/contratos/88847082000155/2025/255</t>
  </si>
  <si>
    <t xml:space="preserve">MUNICIPIO DE ALEGRE</t>
  </si>
  <si>
    <t xml:space="preserve">Alegre</t>
  </si>
  <si>
    <t xml:space="preserve">ES</t>
  </si>
  <si>
    <t xml:space="preserve">CONTRATACAO DE SOFTWARE COMO SERVICOS (SAAS - SOFTWARE A SERVICE), COM APOIO TECNICO ESPECIALIZADO EM ANALISE DE DADOS, CONTEMPLANDO INTEGRACAO, ANALISE DE INFORMACOES DE BASES CADASTRAIS E TRIBUTARIAS E NOTIFICACAO DE CONTRIBUINT</t>
  </si>
  <si>
    <t xml:space="preserve">https://pncp.gov.br/app/contratos/contratos/27174101000135/2024/35</t>
  </si>
  <si>
    <t xml:space="preserve">MUNICIPIO DE OLIVEIRA</t>
  </si>
  <si>
    <t xml:space="preserve">Oliveira</t>
  </si>
  <si>
    <t xml:space="preserve">Contratação de empresa especializada no licenciamento de software na modalidade SaaS de gerenciamento e de modernização do relacionamento do setor público com cidadãos e empresas, contemplando funcionalidades de gestão de contrato</t>
  </si>
  <si>
    <t xml:space="preserve">https://pncp.gov.br/app/contratos/contratos/16854531000181/2026/61</t>
  </si>
  <si>
    <t xml:space="preserve">MUNICIPIO DE CACHOEIRAS DE MACACU</t>
  </si>
  <si>
    <t xml:space="preserve">Cachoeiras de Macacu</t>
  </si>
  <si>
    <t xml:space="preserve">Contratação de ferramenta tecnológica, na modalidade SaaS destinada à gestão integrada do relacionamento do setor público com os cidadãos e empresas, compreendendo, entre outros, os seguintes módulos: •	Cadastro centralizado e enr</t>
  </si>
  <si>
    <t xml:space="preserve">https://pncp.gov.br/app/contratos/contratos/29128766000138/2026/6</t>
  </si>
  <si>
    <t xml:space="preserve">MUNICIPIO DE AMPARO</t>
  </si>
  <si>
    <t xml:space="preserve">Amparo</t>
  </si>
  <si>
    <t xml:space="preserve">Contratação de empresa para fornecimento de software de inteligência e gestão de dados e informações, na modalidade de licenciamento de Software como Serviço (SaaS – Software as a Service), para comunicação e envio de mensagens po</t>
  </si>
  <si>
    <t xml:space="preserve">https://pncp.gov.br/app/contratos/contratos/43465459000173/2025/95</t>
  </si>
  <si>
    <t xml:space="preserve">MUNICIPIO DE BARRA DO PIRAI</t>
  </si>
  <si>
    <t xml:space="preserve">Barra do Piraí</t>
  </si>
  <si>
    <t xml:space="preserve">Contratação de empresa Muove Brasil SA, para utilização da plataforma gove no município de Barra do Pirai-RJ.</t>
  </si>
  <si>
    <t xml:space="preserve">https://pncp.gov.br/app/contratos/contratos/28576080000147/2025/19</t>
  </si>
  <si>
    <t xml:space="preserve">MUNICIPIO DE LAJEADO</t>
  </si>
  <si>
    <t xml:space="preserve">Lajeado</t>
  </si>
  <si>
    <t xml:space="preserve">CONTRATAÇÃO DE EMPRESA ESPECIALIZADA PARA FORNECIMENTO DE SISTEMA NA MODALIDADE SOFTWARE AS A SERVICE (SAAS) DEDICADO À ATUALIZAÇÃO CADASTRAL E COMUNICAÇÃO MULTICANAIS, ACOMPANHADO DE PRESTAÇÃO DE SERVIÇOS VOLTADOS À OTIMIZAÇÃO DA</t>
  </si>
  <si>
    <t xml:space="preserve">https://pncp.gov.br/app/contratos/contratos/87297982000103/2023/40</t>
  </si>
  <si>
    <t xml:space="preserve">MUNICIPIO DE ARUJA</t>
  </si>
  <si>
    <t xml:space="preserve">Arujá</t>
  </si>
  <si>
    <t xml:space="preserve">Software na modalidade SaaS de gerenciamento e de modernização do relacionamento do setor público com cidadãos e empresas, contemplando funcionalidades de gestão e enriquecimento cadastral de relacionamento ativo e receptivo autôn</t>
  </si>
  <si>
    <t xml:space="preserve">https://pncp.gov.br/app/contratos/contratos/56901275000150/2026/7</t>
  </si>
  <si>
    <t xml:space="preserve">MUNICIPIO DE VILHENA</t>
  </si>
  <si>
    <t xml:space="preserve">Vilhena</t>
  </si>
  <si>
    <t xml:space="preserve">RO</t>
  </si>
  <si>
    <t xml:space="preserve">https://pncp.gov.br/app/contratos/contratos/04092706000181/2025/5</t>
  </si>
  <si>
    <t xml:space="preserve">MUNICIPIO DE NOVA LIMA</t>
  </si>
  <si>
    <t xml:space="preserve">Nova Lima</t>
  </si>
  <si>
    <t xml:space="preserve">Contratacao de empresa especializada para a prestacao de servicos que subsidiem a gestao municipal para a otimizacao de receitas e despesas municipais, atraves da plataforma digital, na modalidade de Software como servicos (SaaS –</t>
  </si>
  <si>
    <t xml:space="preserve">https://pncp.gov.br/app/contratos/contratos/22934889000117/2023/4</t>
  </si>
  <si>
    <t xml:space="preserve">MUNICIPIO DE DIVINOPOLIS</t>
  </si>
  <si>
    <t xml:space="preserve">Divinópolis</t>
  </si>
  <si>
    <t xml:space="preserve">CONTRATAÇÃO DE EMPRESA ESPECIALIZADA NO LICENCIAMENTO DE SOFTWARE NA MODALIDADE SAAS DE GERENCIAMENTO E DE MODERNIZAÇÃO DO RELACIONAMENTO DO SETOR PÚBLICO COM CIDADÃOS E EMPRESAS, CONTEMPLANDO FUNCIONALIDADES DE GESTÃO DE CONTATOS</t>
  </si>
  <si>
    <t xml:space="preserve">https://pncp.gov.br/app/contratos/contratos/18291351000164/2025/166</t>
  </si>
  <si>
    <t xml:space="preserve">MUNICIPIO DE RONDONOPOLIS</t>
  </si>
  <si>
    <t xml:space="preserve">Rondonópolis</t>
  </si>
  <si>
    <t xml:space="preserve">CORRESPONDE A CONTRATAÇÃO DE EMPRESA ESPECIALIZADA EM PRESTAÇÃO DE SERVIÇO DE LOCAÇÃO DE SOFTWARE NA MODALIDADE SAAS DE GERENCIAMENTO E DE MODERNIZAÇÃO DO RELACIONAMENTO DO SETOR PUBLICO COM CIDADÃOS E EMPRESAS, PARA ATENDER A SEC</t>
  </si>
  <si>
    <t xml:space="preserve">https://pncp.gov.br/app/contratos/contratos/03347101000121/2025/41</t>
  </si>
  <si>
    <t xml:space="preserve">MUNICIPIO DE QUEIMADOS</t>
  </si>
  <si>
    <t xml:space="preserve">Queimados</t>
  </si>
  <si>
    <t xml:space="preserve">A PRESTAÇÃO DE SERVIÇOS DE GESTÃO DA INFORMAÇÃO PARA OTIMIZAÇÃO DE DADOS CADASTRAIS MUNICIPAIS, ATRAVÉS DE PLATAFORMA DIGITAL, NA MODALIDADE DE SOFTWARE COMO SERVIÇOS (SAAS – SOFTWARE A SERVICE), COM APOIO TÉCNICO ESPECIALIZADO EM</t>
  </si>
  <si>
    <t xml:space="preserve">https://pncp.gov.br/app/contratos/contratos/39485412000102/2025/29</t>
  </si>
  <si>
    <t xml:space="preserve">MUNICIPIO DE TRINDADE</t>
  </si>
  <si>
    <t xml:space="preserve">Trindade</t>
  </si>
  <si>
    <t xml:space="preserve">CONTRATAÇÃO DE SOLUÇÃO TECNOLÓGICA NA MODALIDADE SOFTWARE COMO SERVIÇO (SAAS) PARA INCREMENTO DA ARRECADAÇÃO TRIBUTÁRIA, MODERNIZAÇÃO DA COMUNICAÇÃO INSTITUCIONAL, AUTOATENDIMENTO DO CONTRIBUINTE E GESTÃO INTEGRADA DO RELACIONAMEN</t>
  </si>
  <si>
    <t xml:space="preserve">https://pncp.gov.br/app/contratos/contratos/01217538000115/2026/12</t>
  </si>
  <si>
    <t xml:space="preserve">MUNICIPIO DE JACAREI</t>
  </si>
  <si>
    <t xml:space="preserve">Jacareí</t>
  </si>
  <si>
    <t xml:space="preserve">Software de inteligência e gestão de dados e informações para otimização da Gestão Tributária  Cód de Licitação: 2025000000120  Cód Ajuste: 2025000000713</t>
  </si>
  <si>
    <t xml:space="preserve">https://pncp.gov.br/app/contratos/contratos/46694139000183/2025/17</t>
  </si>
  <si>
    <t xml:space="preserve">MUNICIPIO DE SANTA LUZIA</t>
  </si>
  <si>
    <t xml:space="preserve">Santa Luzia</t>
  </si>
  <si>
    <t xml:space="preserve">Contratação de empresa especializada para prestação de serviços destinados a subsidiar a gestão municipal na otimização de receitas e despesas, por meio de plataforma digital integrada na modalidade Software como Serviço (SaaS), c</t>
  </si>
  <si>
    <t xml:space="preserve">https://pncp.gov.br/app/contratos/contratos/18715409000150/2026/82</t>
  </si>
  <si>
    <t xml:space="preserve">MUNICIPIO DE MOGI-GUACU</t>
  </si>
  <si>
    <t xml:space="preserve">Mogi Guaçu</t>
  </si>
  <si>
    <t xml:space="preserve">Contratação de licença de uso, implantação, parametrização, treinamento, suporte técnico e operação da plataforma Governo Zero Clique, em modelo SaaS, como camada transversal de centralização/qualificação cadastral, automações, in</t>
  </si>
  <si>
    <t xml:space="preserve">https://pncp.gov.br/app/contratos/contratos/45301264000113/2026/277</t>
  </si>
  <si>
    <t xml:space="preserve">MUNICIPIO DE TAUBATE</t>
  </si>
  <si>
    <t xml:space="preserve">Taubaté</t>
  </si>
  <si>
    <t xml:space="preserve">Contratação de empresa especializada para a prestação de serviços em fornecimento e consultoria de software na modalidade SaaS de comunicação multicanal e atendimento virtual com domicílio eletrônico e relacionamento com cidadão, </t>
  </si>
  <si>
    <t xml:space="preserve">https://pncp.gov.br/app/contratos/contratos/45176005000108/2026/28</t>
  </si>
  <si>
    <t xml:space="preserve">MUNICIPIO DE ITAJAI</t>
  </si>
  <si>
    <t xml:space="preserve">Itajaí</t>
  </si>
  <si>
    <t xml:space="preserve">https://pncp.gov.br/app/contratos/contratos/83102277000152/2026/276</t>
  </si>
  <si>
    <t xml:space="preserve">FUNDO MUNICIPAL DA EDUCACAO DE SAO JOAO DO OESTE</t>
  </si>
  <si>
    <t xml:space="preserve">Fundo municipal</t>
  </si>
  <si>
    <t xml:space="preserve">https://pncp.gov.br/app/contratos/contratos/31030781000190/2025/12</t>
  </si>
  <si>
    <t xml:space="preserve">FUNDO MUNICIPAL DA SAUDE DE SAO JOAO DO OESTE</t>
  </si>
  <si>
    <t xml:space="preserve">https://pncp.gov.br/app/contratos/contratos/11418721000132/2025/192</t>
  </si>
  <si>
    <t xml:space="preserve">Resumo por faixa · panorama dos concorrentes</t>
  </si>
  <si>
    <t xml:space="preserve">Valores mensais em R$ = valor global do contrato dividido pelos meses de vigencia. Base: abas de contratos.</t>
  </si>
  <si>
    <t xml:space="preserve">Vigentes conta apenas contratos ainda em vigor hoje. Minimo, maximo e mediana usam a base completa, para nao invalidar a amostra.</t>
  </si>
  <si>
    <t xml:space="preserve">1 · 1DOC TECNOLOGIA · BENCHMARK DIRETO</t>
  </si>
  <si>
    <t xml:space="preserve">Objeto: protocolo, tramitacao de processos administrativos e gestao documental. Mesmo objeto do Protocolo 3.0.</t>
  </si>
  <si>
    <t xml:space="preserve">Faixa / entidade</t>
  </si>
  <si>
    <t xml:space="preserve">Contratos (n)</t>
  </si>
  <si>
    <t xml:space="preserve">Vigentes (n)</t>
  </si>
  <si>
    <t xml:space="preserve">Valor minimo</t>
  </si>
  <si>
    <t xml:space="preserve">Valor maximo</t>
  </si>
  <si>
    <t xml:space="preserve">Mediana (ticket)</t>
  </si>
  <si>
    <t xml:space="preserve">Mediana anual</t>
  </si>
  <si>
    <t xml:space="preserve">Confiabilidade</t>
  </si>
  <si>
    <t xml:space="preserve">PREFEITURAS</t>
  </si>
  <si>
    <t xml:space="preserve">Ate 20 mil habitantes</t>
  </si>
  <si>
    <t xml:space="preserve">20 a 100 mil habitantes</t>
  </si>
  <si>
    <t xml:space="preserve">100 a 500 mil habitantes</t>
  </si>
  <si>
    <t xml:space="preserve">Acima de 500 mil habitantes</t>
  </si>
  <si>
    <t xml:space="preserve">Total prefeituras</t>
  </si>
  <si>
    <t xml:space="preserve">ENTIDADES VINCULADAS</t>
  </si>
  <si>
    <t xml:space="preserve">Camara Municipal</t>
  </si>
  <si>
    <t xml:space="preserve">Autarquia / Fundacao</t>
  </si>
  <si>
    <t xml:space="preserve">Consorcio publico</t>
  </si>
  <si>
    <t xml:space="preserve">Outros orgaos</t>
  </si>
  <si>
    <t xml:space="preserve">TOTAL GERAL</t>
  </si>
  <si>
    <t xml:space="preserve">Parametros gerais</t>
  </si>
  <si>
    <t xml:space="preserve">Contratos de 12 meses</t>
  </si>
  <si>
    <t xml:space="preserve">Contratos por Dispensa</t>
  </si>
  <si>
    <t xml:space="preserve">Contratos por Pregao Eletronico</t>
  </si>
  <si>
    <t xml:space="preserve">Contratos por Inexigibilidade</t>
  </si>
  <si>
    <t xml:space="preserve">Outras modalidades</t>
  </si>
  <si>
    <t xml:space="preserve">Mediana R$/habitante/ano</t>
  </si>
  <si>
    <t xml:space="preserve">Piso observado (menor mensal, prefeituras)</t>
  </si>
  <si>
    <t xml:space="preserve">2 · APROVA DIGITAL · REFERENCIA ADJACENTE</t>
  </si>
  <si>
    <t xml:space="preserve">Objeto predominante: licenciamento de obras, alvaras e aprovacao de projetos. Referencia de teto, nao preco comparavel.</t>
  </si>
  <si>
    <t xml:space="preserve">3 · GOVE / MUOVE BRASIL · REFERENCIA ADJACENTE, NAO COMPARAVEL NO OBJETO</t>
  </si>
  <si>
    <t xml:space="preserve">Objeto: inteligencia de dados, gestao tributaria e relacionamento com o cidadao. Nao e sistema de tramitacao de processos.</t>
  </si>
  <si>
    <t xml:space="preserve">Use como referencia do orcamento que a prefeitura aceita comprometer com SaaS de gestao - nao como parametro de preco.</t>
  </si>
  <si>
    <t xml:space="preserve">4 · Comparativo entre os tres fornecedores (mediana mensal, prefeituras)</t>
  </si>
  <si>
    <t xml:space="preserve">Faixa</t>
  </si>
  <si>
    <t xml:space="preserve">1Doc · protocolo</t>
  </si>
  <si>
    <t xml:space="preserve">Aprova · licenciamento</t>
  </si>
  <si>
    <t xml:space="preserve">Gove · dados e atendimento</t>
  </si>
  <si>
    <t xml:space="preserve">Gove / 1Doc</t>
  </si>
  <si>
    <t xml:space="preserve">Leitura</t>
  </si>
  <si>
    <t xml:space="preserve">sem amostra</t>
  </si>
  <si>
    <t xml:space="preserve">Protocolo 3.0 · Modelo parametrico de precificacao</t>
  </si>
  <si>
    <t xml:space="preserve">Preencha apenas as celulas azuis. Tudo em preto e formula. Amarelo exige decisao antes de virar tabela oficial.</t>
  </si>
  <si>
    <t xml:space="preserve">O preco deriva de UMA base de referencia. Aprova e Gove aparecem como comparacao, nao como base de calculo - objetos diferentes.</t>
  </si>
  <si>
    <t xml:space="preserve">1 · Parametros globais</t>
  </si>
  <si>
    <t xml:space="preserve">Base de referencia do benchmark</t>
  </si>
  <si>
    <t xml:space="preserve">1Doc</t>
  </si>
  <si>
    <t xml:space="preserve">Valores aceitos: 1Doc, Aprova ou Gove. Recomendado 1Doc - unico com o mesmo objeto.</t>
  </si>
  <si>
    <t xml:space="preserve">Prazo padrao de contrato (meses)</t>
  </si>
  <si>
    <t xml:space="preserve">Padrao de mercado: 96 dos 114 contratos da 1Doc sao de 12 meses.</t>
  </si>
  <si>
    <t xml:space="preserve">Implantacao como % da assinatura anual</t>
  </si>
  <si>
    <t xml:space="preserve">Premissa. Substituir pelo custo real de implantacao da Centi.</t>
  </si>
  <si>
    <t xml:space="preserve">Desconto maximo por alcada comercial</t>
  </si>
  <si>
    <t xml:space="preserve">Concedido apenas contra contrapartida contratual.</t>
  </si>
  <si>
    <t xml:space="preserve">Reajuste anual previsto em contrato</t>
  </si>
  <si>
    <t xml:space="preserve">Indice a definir em contrato, conforme legislacao aplicavel.</t>
  </si>
  <si>
    <t xml:space="preserve">Limite de dispensa vigente (R$/ano)</t>
  </si>
  <si>
    <t xml:space="preserve">PREENCHER. Atualizado por decreto - validar com o juridico.</t>
  </si>
  <si>
    <t xml:space="preserve">2 · Prefeituras · preco por faixa</t>
  </si>
  <si>
    <t xml:space="preserve">Fator: 1,00 = paridade com a base escolhida. Abaixo de 1 = entrada por preco. Acima de 1 = premio, exige diferenciacao comprovada.</t>
  </si>
  <si>
    <t xml:space="preserve">Mediana 1Doc</t>
  </si>
  <si>
    <t xml:space="preserve">Mediana Aprova</t>
  </si>
  <si>
    <t xml:space="preserve">Mediana Gove</t>
  </si>
  <si>
    <t xml:space="preserve">Base escolhida</t>
  </si>
  <si>
    <t xml:space="preserve">Fator de posicionamento</t>
  </si>
  <si>
    <t xml:space="preserve">Assinatura mensal</t>
  </si>
  <si>
    <t xml:space="preserve">Assinatura anual</t>
  </si>
  <si>
    <t xml:space="preserve">Implantacao (unico)</t>
  </si>
  <si>
    <t xml:space="preserve">Contrato ano 1</t>
  </si>
  <si>
    <t xml:space="preserve">Cabe em dispensa?</t>
  </si>
  <si>
    <t xml:space="preserve">"sem amostra" indica que o concorrente nao tem contratos naquela faixa. A base escolhida cai automaticamente para a 1Doc.</t>
  </si>
  <si>
    <t xml:space="preserve">2b · Posicionamento resultante em relacao a cada concorrente</t>
  </si>
  <si>
    <t xml:space="preserve">Quanto o preco proposto representa da mediana de cada fornecedor. 100% = paridade.</t>
  </si>
  <si>
    <t xml:space="preserve">vs 1Doc (protocolo)</t>
  </si>
  <si>
    <t xml:space="preserve">vs Aprova (licenciamento)</t>
  </si>
  <si>
    <t xml:space="preserve">vs Gove (dados)</t>
  </si>
  <si>
    <t xml:space="preserve">3 · Entidades vinculadas · base propria, nao usar faixa populacional</t>
  </si>
  <si>
    <t xml:space="preserve">Somente a 1Doc tem amostra relevante para Camara, autarquia e consorcio. Aprova e Gove nao entram aqui.</t>
  </si>
  <si>
    <t xml:space="preserve">Amostra (n)</t>
  </si>
  <si>
    <t xml:space="preserve">Observacao</t>
  </si>
  <si>
    <t xml:space="preserve">Apenas tramitacao administrativa. Nao vender como sistema legislativo.</t>
  </si>
  <si>
    <t xml:space="preserve">Volume alto no saneamento. Precificar por usuarios.</t>
  </si>
  <si>
    <t xml:space="preserve">Ticket baixo. O valor esta no acesso aos municipios consorciados.</t>
  </si>
  <si>
    <t xml:space="preserve">4A · Teste de piso · o preco com desconto maximo resiste ao menor contrato de cada concorrente?</t>
  </si>
  <si>
    <t xml:space="preserve">Piso = menor valor mensal observado naquela faixa, por fornecedor. Contratos parciais puxam o piso para baixo - tratar como alerta, nao como veredito.</t>
  </si>
  <si>
    <t xml:space="preserve">Com desconto maximo</t>
  </si>
  <si>
    <t xml:space="preserve">Piso 1Doc na faixa</t>
  </si>
  <si>
    <t xml:space="preserve">Piso Aprova na faixa</t>
  </si>
  <si>
    <t xml:space="preserve">Piso Gove na faixa</t>
  </si>
  <si>
    <t xml:space="preserve">4B · Teste de orcamento · quanto o preco representa do que o municipio ja paga a cada fornecedor</t>
  </si>
  <si>
    <t xml:space="preserve">Nao e concorrencia direta com Aprova e Gove. E medida do espaco disponivel no orcamento municipal de SaaS de gestao.</t>
  </si>
  <si>
    <t xml:space="preserve">% da mediana 1Doc</t>
  </si>
  <si>
    <t xml:space="preserve">% da mediana Aprova</t>
  </si>
  <si>
    <t xml:space="preserve">% da mediana Gove</t>
  </si>
  <si>
    <t xml:space="preserve">5 · Como ler os dois testes</t>
  </si>
  <si>
    <t xml:space="preserve">· 4A responde: o preco e sustentavel diante do menor contrato ja praticado no mercado?</t>
  </si>
  <si>
    <t xml:space="preserve">· 4B responde: o municipio tem orcamento para pagar esse preco?</t>
  </si>
  <si>
    <t xml:space="preserve">· Passar nos dois nao significa que o preco cobre o custo da Centi. Esse teste ainda nao existe na planilha.</t>
  </si>
  <si>
    <t xml:space="preserve">· Aprova e Gove entram por objetos diferentes do Protocolo 3.0. Servem de contexto de mercado, nunca de justificativa de preco em proposta.</t>
  </si>
  <si>
    <t xml:space="preserve">Decisoes pendentes da Centi</t>
  </si>
  <si>
    <t xml:space="preserve">· Custo real de implantacao por porte - define se o percentual de 25% se sustenta.</t>
  </si>
  <si>
    <t xml:space="preserve">· Custo de suporte por cliente - define o piso abaixo do qual a faixa de entrada nao fecha.</t>
  </si>
  <si>
    <t xml:space="preserve">· Fator de posicionamento por faixa - decisao estrategica, nao calculo.</t>
  </si>
  <si>
    <t xml:space="preserve">· Limite de dispensa vigente - validar com o juridico antes de dimensionar contrato.</t>
  </si>
  <si>
    <t xml:space="preserve">· Politica de preco para multiplas entidades do mesmo municipio - exige parecer sobre fracionamento.</t>
  </si>
  <si>
    <t xml:space="preserve">· Separar assinatura de implantacao em 5 a 6 contratos da 1Doc para corrigir a mediana do benchmark.</t>
  </si>
</sst>
</file>

<file path=xl/styles.xml><?xml version="1.0" encoding="utf-8"?>
<styleSheet xmlns="http://schemas.openxmlformats.org/spreadsheetml/2006/main">
  <numFmts count="13">
    <numFmt numFmtId="164" formatCode="General"/>
    <numFmt numFmtId="165" formatCode="#,##0"/>
    <numFmt numFmtId="166" formatCode="dd/mm/yyyy"/>
    <numFmt numFmtId="167" formatCode="0.0"/>
    <numFmt numFmtId="168" formatCode="&quot;R$ &quot;#,##0;&quot;(R$ &quot;#,##0\);\-"/>
    <numFmt numFmtId="169" formatCode="&quot;R$ &quot;#,##0.00;&quot;(R$ &quot;#,##0.00\);\-"/>
    <numFmt numFmtId="170" formatCode="0"/>
    <numFmt numFmtId="171" formatCode="&quot;R$ &quot;#,##0.00"/>
    <numFmt numFmtId="172" formatCode="0.0\x"/>
    <numFmt numFmtId="173" formatCode="@"/>
    <numFmt numFmtId="174" formatCode="0%"/>
    <numFmt numFmtId="175" formatCode="0.0%"/>
    <numFmt numFmtId="176"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2"/>
      <color rgb="FF1F3864"/>
      <name val="Arial"/>
      <family val="0"/>
      <charset val="1"/>
    </font>
    <font>
      <sz val="10"/>
      <name val="Arial"/>
      <family val="0"/>
      <charset val="1"/>
    </font>
    <font>
      <b val="true"/>
      <sz val="10"/>
      <color rgb="FFFFFFFF"/>
      <name val="Arial"/>
      <family val="0"/>
      <charset val="1"/>
    </font>
    <font>
      <i val="true"/>
      <sz val="9"/>
      <color rgb="FF595959"/>
      <name val="Arial"/>
      <family val="0"/>
      <charset val="1"/>
    </font>
    <font>
      <b val="true"/>
      <sz val="10"/>
      <color rgb="FF1F3864"/>
      <name val="Arial"/>
      <family val="0"/>
      <charset val="1"/>
    </font>
    <font>
      <b val="true"/>
      <sz val="10"/>
      <name val="Arial"/>
      <family val="0"/>
      <charset val="1"/>
    </font>
    <font>
      <b val="true"/>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2F2F2"/>
        <bgColor rgb="FFDDEBF7"/>
      </patternFill>
    </fill>
    <fill>
      <patternFill patternType="solid">
        <fgColor rgb="FFDDEBF7"/>
        <bgColor rgb="FFF2F2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true" applyProtection="false">
      <alignment horizontal="center" vertical="bottom" textRotation="0" wrapText="fals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center" vertical="bottom" textRotation="0" wrapText="false" indent="0" shrinkToFit="false"/>
      <protection locked="true" hidden="false"/>
    </xf>
    <xf numFmtId="171" fontId="10" fillId="0" borderId="1" xfId="0" applyFont="true" applyBorder="true" applyAlignment="true" applyProtection="false">
      <alignment horizontal="center"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3" fontId="11" fillId="4" borderId="1" xfId="0" applyFont="true" applyBorder="true" applyAlignment="true" applyProtection="false">
      <alignment horizontal="center" vertical="bottom" textRotation="0" wrapText="false" indent="0" shrinkToFit="false"/>
      <protection locked="true" hidden="false"/>
    </xf>
    <xf numFmtId="170" fontId="11" fillId="4" borderId="1" xfId="0" applyFont="true" applyBorder="true" applyAlignment="true" applyProtection="false">
      <alignment horizontal="center" vertical="bottom" textRotation="0" wrapText="false" indent="0" shrinkToFit="false"/>
      <protection locked="true" hidden="false"/>
    </xf>
    <xf numFmtId="174" fontId="11" fillId="4" borderId="1" xfId="0" applyFont="true" applyBorder="true" applyAlignment="true" applyProtection="false">
      <alignment horizontal="center" vertical="bottom" textRotation="0" wrapText="false" indent="0" shrinkToFit="false"/>
      <protection locked="true" hidden="false"/>
    </xf>
    <xf numFmtId="175" fontId="11" fillId="4" borderId="1" xfId="0" applyFont="true" applyBorder="true" applyAlignment="true" applyProtection="false">
      <alignment horizontal="center" vertical="bottom" textRotation="0" wrapText="false" indent="0" shrinkToFit="false"/>
      <protection locked="true" hidden="false"/>
    </xf>
    <xf numFmtId="168" fontId="11" fillId="5" borderId="1" xfId="0" applyFont="true" applyBorder="true" applyAlignment="true" applyProtection="false">
      <alignment horizontal="center" vertical="bottom" textRotation="0" wrapText="false" indent="0" shrinkToFit="false"/>
      <protection locked="true" hidden="false"/>
    </xf>
    <xf numFmtId="176" fontId="11" fillId="4"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3" customFormat="false" ht="15" hidden="false" customHeight="false" outlineLevel="0" collapsed="false">
      <c r="A3" s="2" t="s">
        <v>1</v>
      </c>
    </row>
    <row r="5" customFormat="false" ht="15" hidden="false" customHeight="false" outlineLevel="0" collapsed="false">
      <c r="A5" s="3" t="s">
        <v>2</v>
      </c>
    </row>
    <row r="6" customFormat="false" ht="15" hidden="false" customHeight="false" outlineLevel="0" collapsed="false">
      <c r="A6" s="3" t="s">
        <v>3</v>
      </c>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2" t="s">
        <v>7</v>
      </c>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2" t="s">
        <v>13</v>
      </c>
    </row>
    <row r="19" customFormat="false" ht="15" hidden="false" customHeight="false" outlineLevel="0" collapsed="false">
      <c r="A19" s="3" t="s">
        <v>14</v>
      </c>
    </row>
    <row r="20" customFormat="false" ht="15" hidden="false" customHeight="false" outlineLevel="0" collapsed="false">
      <c r="A20" s="3" t="s">
        <v>15</v>
      </c>
    </row>
    <row r="21" customFormat="false" ht="15" hidden="false" customHeight="false" outlineLevel="0" collapsed="false">
      <c r="A21" s="2" t="s">
        <v>16</v>
      </c>
    </row>
    <row r="23" customFormat="false" ht="15" hidden="false" customHeight="false" outlineLevel="0" collapsed="false">
      <c r="A23" s="3" t="s">
        <v>17</v>
      </c>
    </row>
    <row r="24" customFormat="false" ht="15" hidden="false" customHeight="false" outlineLevel="0" collapsed="false">
      <c r="A24" s="3" t="s">
        <v>18</v>
      </c>
    </row>
    <row r="25" customFormat="false" ht="15" hidden="false" customHeight="false" outlineLevel="0" collapsed="false">
      <c r="A25" s="3" t="s">
        <v>19</v>
      </c>
    </row>
    <row r="26" customFormat="false" ht="15" hidden="false" customHeight="false" outlineLevel="0" collapsed="false">
      <c r="A26" s="2" t="s">
        <v>20</v>
      </c>
    </row>
    <row r="28" customFormat="false" ht="15" hidden="false" customHeight="false" outlineLevel="0" collapsed="false">
      <c r="A28" s="3" t="s">
        <v>21</v>
      </c>
    </row>
    <row r="29" customFormat="false" ht="15" hidden="false" customHeight="false" outlineLevel="0" collapsed="false">
      <c r="A29" s="2" t="s">
        <v>22</v>
      </c>
    </row>
    <row r="31" customFormat="false" ht="15" hidden="false" customHeight="false" outlineLevel="0" collapsed="false">
      <c r="A31" s="3" t="s">
        <v>23</v>
      </c>
    </row>
    <row r="32" customFormat="false" ht="15" hidden="false" customHeight="false" outlineLevel="0" collapsed="false">
      <c r="A32" s="3" t="s">
        <v>24</v>
      </c>
    </row>
    <row r="33" customFormat="false" ht="15" hidden="false" customHeight="false" outlineLevel="0" collapsed="false">
      <c r="A33" s="3" t="s">
        <v>25</v>
      </c>
    </row>
    <row r="34" customFormat="false" ht="15" hidden="false" customHeight="false" outlineLevel="0" collapsed="false">
      <c r="A34" s="3" t="s">
        <v>26</v>
      </c>
    </row>
    <row r="35" customFormat="false" ht="15" hidden="false" customHeight="false" outlineLevel="0" collapsed="false">
      <c r="A35" s="3" t="s">
        <v>27</v>
      </c>
    </row>
    <row r="36" customFormat="false" ht="15" hidden="false" customHeight="false" outlineLevel="0" collapsed="false">
      <c r="A36" s="3" t="s">
        <v>28</v>
      </c>
    </row>
    <row r="37" customFormat="false" ht="15" hidden="false" customHeight="false" outlineLevel="0" collapsed="false">
      <c r="A37" s="2" t="s">
        <v>29</v>
      </c>
    </row>
    <row r="39" customFormat="false" ht="15" hidden="false" customHeight="false" outlineLevel="0" collapsed="false">
      <c r="A39" s="3" t="s">
        <v>30</v>
      </c>
    </row>
    <row r="40" customFormat="false" ht="15" hidden="false" customHeight="false" outlineLevel="0" collapsed="false">
      <c r="A40" s="2" t="s">
        <v>31</v>
      </c>
    </row>
    <row r="42" customFormat="false" ht="15" hidden="false" customHeight="false" outlineLevel="0" collapsed="false">
      <c r="A42"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0"/>
    <col collapsed="false" customWidth="true" hidden="false" outlineLevel="0" max="4" min="4" style="0" width="5"/>
    <col collapsed="false" customWidth="true" hidden="false" outlineLevel="0" max="5" min="5" style="0" width="14"/>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0"/>
    <col collapsed="false" customWidth="true" hidden="false" outlineLevel="0" max="17" min="17" style="0" width="70"/>
    <col collapsed="false" customWidth="true" hidden="false" outlineLevel="0" max="18" min="18" style="0" width="50"/>
  </cols>
  <sheetData>
    <row r="1" customFormat="false" ht="23.85" hidden="false" customHeight="false" outlineLevel="0" collapsed="false">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row>
    <row r="2" customFormat="false" ht="15" hidden="false" customHeight="false" outlineLevel="0" collapsed="false">
      <c r="A2" s="5" t="s">
        <v>51</v>
      </c>
      <c r="B2" s="5" t="s">
        <v>52</v>
      </c>
      <c r="C2" s="5" t="s">
        <v>53</v>
      </c>
      <c r="D2" s="6" t="s">
        <v>54</v>
      </c>
      <c r="E2" s="7" t="n">
        <v>5623</v>
      </c>
      <c r="F2" s="6" t="s">
        <v>55</v>
      </c>
      <c r="G2" s="6" t="n">
        <v>2024</v>
      </c>
      <c r="H2" s="5" t="s">
        <v>56</v>
      </c>
      <c r="I2" s="8" t="n">
        <v>45344</v>
      </c>
      <c r="J2" s="8" t="n">
        <v>45710</v>
      </c>
      <c r="K2" s="6" t="str">
        <f aca="true">IF(J2&gt;=TODAY(),"Vigente","Encerrado")</f>
        <v>Encerrado</v>
      </c>
      <c r="L2" s="9" t="n">
        <f aca="false">ROUND((J2-I2)/30.44,1)</f>
        <v>12</v>
      </c>
      <c r="M2" s="10" t="n">
        <v>24841.8</v>
      </c>
      <c r="N2" s="10" t="n">
        <f aca="false">IF(L2=0,"",M2/L2)</f>
        <v>2070.15</v>
      </c>
      <c r="O2" s="11" t="n">
        <f aca="false">IF(E2=0,"",N2*12/E2)</f>
        <v>4.41789080561978</v>
      </c>
      <c r="P2" s="5" t="s">
        <v>57</v>
      </c>
      <c r="Q2" s="5" t="s">
        <v>58</v>
      </c>
      <c r="R2" s="5" t="s">
        <v>59</v>
      </c>
    </row>
    <row r="3" customFormat="false" ht="15" hidden="false" customHeight="false" outlineLevel="0" collapsed="false">
      <c r="A3" s="12" t="s">
        <v>60</v>
      </c>
      <c r="B3" s="12" t="s">
        <v>52</v>
      </c>
      <c r="C3" s="12" t="s">
        <v>61</v>
      </c>
      <c r="D3" s="13" t="s">
        <v>54</v>
      </c>
      <c r="E3" s="14" t="n">
        <v>8755</v>
      </c>
      <c r="F3" s="13" t="s">
        <v>55</v>
      </c>
      <c r="G3" s="13" t="n">
        <v>2025</v>
      </c>
      <c r="H3" s="12" t="s">
        <v>62</v>
      </c>
      <c r="I3" s="15" t="n">
        <v>45884</v>
      </c>
      <c r="J3" s="15" t="n">
        <v>46249</v>
      </c>
      <c r="K3" s="13" t="str">
        <f aca="true">IF(J3&gt;=TODAY(),"Vigente","Encerrado")</f>
        <v>Encerrado</v>
      </c>
      <c r="L3" s="16" t="n">
        <f aca="false">ROUND((J3-I3)/30.44,1)</f>
        <v>12</v>
      </c>
      <c r="M3" s="17" t="n">
        <v>28800</v>
      </c>
      <c r="N3" s="17" t="n">
        <f aca="false">IF(L3=0,"",M3/L3)</f>
        <v>2400</v>
      </c>
      <c r="O3" s="18" t="n">
        <f aca="false">IF(E3=0,"",N3*12/E3)</f>
        <v>3.28954882924043</v>
      </c>
      <c r="P3" s="12" t="s">
        <v>57</v>
      </c>
      <c r="Q3" s="12" t="s">
        <v>63</v>
      </c>
      <c r="R3" s="12" t="s">
        <v>64</v>
      </c>
    </row>
    <row r="4" customFormat="false" ht="15" hidden="false" customHeight="false" outlineLevel="0" collapsed="false">
      <c r="A4" s="5" t="s">
        <v>65</v>
      </c>
      <c r="B4" s="5" t="s">
        <v>52</v>
      </c>
      <c r="C4" s="5" t="s">
        <v>66</v>
      </c>
      <c r="D4" s="6" t="s">
        <v>67</v>
      </c>
      <c r="E4" s="7" t="n">
        <v>10627</v>
      </c>
      <c r="F4" s="6" t="s">
        <v>55</v>
      </c>
      <c r="G4" s="6" t="n">
        <v>2026</v>
      </c>
      <c r="H4" s="5" t="s">
        <v>56</v>
      </c>
      <c r="I4" s="8" t="n">
        <v>46094</v>
      </c>
      <c r="J4" s="8" t="n">
        <v>46278</v>
      </c>
      <c r="K4" s="6" t="str">
        <f aca="true">IF(J4&gt;=TODAY(),"Vigente","Encerrado")</f>
        <v>Vigente</v>
      </c>
      <c r="L4" s="9" t="n">
        <f aca="false">ROUND((J4-I4)/30.44,1)</f>
        <v>6</v>
      </c>
      <c r="M4" s="10" t="n">
        <v>14400</v>
      </c>
      <c r="N4" s="10" t="n">
        <f aca="false">IF(L4=0,"",M4/L4)</f>
        <v>2400</v>
      </c>
      <c r="O4" s="11" t="n">
        <f aca="false">IF(E4=0,"",N4*12/E4)</f>
        <v>2.71007810294533</v>
      </c>
      <c r="P4" s="5" t="s">
        <v>57</v>
      </c>
      <c r="Q4" s="5" t="s">
        <v>68</v>
      </c>
      <c r="R4" s="5" t="s">
        <v>69</v>
      </c>
    </row>
    <row r="5" customFormat="false" ht="15" hidden="false" customHeight="false" outlineLevel="0" collapsed="false">
      <c r="A5" s="12" t="s">
        <v>70</v>
      </c>
      <c r="B5" s="12" t="s">
        <v>52</v>
      </c>
      <c r="C5" s="12" t="s">
        <v>71</v>
      </c>
      <c r="D5" s="13" t="s">
        <v>67</v>
      </c>
      <c r="E5" s="14" t="n">
        <v>14219</v>
      </c>
      <c r="F5" s="13" t="s">
        <v>55</v>
      </c>
      <c r="G5" s="13" t="n">
        <v>2025</v>
      </c>
      <c r="H5" s="12" t="s">
        <v>56</v>
      </c>
      <c r="I5" s="15" t="n">
        <v>45715</v>
      </c>
      <c r="J5" s="15" t="n">
        <v>46080</v>
      </c>
      <c r="K5" s="13" t="str">
        <f aca="true">IF(J5&gt;=TODAY(),"Vigente","Encerrado")</f>
        <v>Encerrado</v>
      </c>
      <c r="L5" s="16" t="n">
        <f aca="false">ROUND((J5-I5)/30.44,1)</f>
        <v>12</v>
      </c>
      <c r="M5" s="17" t="n">
        <v>28800</v>
      </c>
      <c r="N5" s="17" t="n">
        <f aca="false">IF(L5=0,"",M5/L5)</f>
        <v>2400</v>
      </c>
      <c r="O5" s="18" t="n">
        <f aca="false">IF(E5=0,"",N5*12/E5)</f>
        <v>2.02545889303045</v>
      </c>
      <c r="P5" s="12" t="s">
        <v>57</v>
      </c>
      <c r="Q5" s="12" t="s">
        <v>72</v>
      </c>
      <c r="R5" s="12" t="s">
        <v>73</v>
      </c>
    </row>
    <row r="6" customFormat="false" ht="15" hidden="false" customHeight="false" outlineLevel="0" collapsed="false">
      <c r="A6" s="5" t="s">
        <v>74</v>
      </c>
      <c r="B6" s="5" t="s">
        <v>52</v>
      </c>
      <c r="C6" s="5" t="s">
        <v>75</v>
      </c>
      <c r="D6" s="6" t="s">
        <v>76</v>
      </c>
      <c r="E6" s="7" t="n">
        <v>2617</v>
      </c>
      <c r="F6" s="6" t="s">
        <v>55</v>
      </c>
      <c r="G6" s="6" t="n">
        <v>2025</v>
      </c>
      <c r="H6" s="5" t="s">
        <v>56</v>
      </c>
      <c r="I6" s="8" t="n">
        <v>45980</v>
      </c>
      <c r="J6" s="8" t="n">
        <v>46344</v>
      </c>
      <c r="K6" s="6" t="str">
        <f aca="true">IF(J6&gt;=TODAY(),"Vigente","Encerrado")</f>
        <v>Vigente</v>
      </c>
      <c r="L6" s="9" t="n">
        <f aca="false">ROUND((J6-I6)/30.44,1)</f>
        <v>12</v>
      </c>
      <c r="M6" s="10" t="n">
        <v>28800</v>
      </c>
      <c r="N6" s="10" t="n">
        <f aca="false">IF(L6=0,"",M6/L6)</f>
        <v>2400</v>
      </c>
      <c r="O6" s="11" t="n">
        <f aca="false">IF(E6=0,"",N6*12/E6)</f>
        <v>11.0049675200611</v>
      </c>
      <c r="P6" s="5" t="s">
        <v>57</v>
      </c>
      <c r="Q6" s="5" t="s">
        <v>77</v>
      </c>
      <c r="R6" s="5" t="s">
        <v>78</v>
      </c>
    </row>
    <row r="7" customFormat="false" ht="15" hidden="false" customHeight="false" outlineLevel="0" collapsed="false">
      <c r="A7" s="12" t="s">
        <v>79</v>
      </c>
      <c r="B7" s="12" t="s">
        <v>52</v>
      </c>
      <c r="C7" s="12" t="s">
        <v>80</v>
      </c>
      <c r="D7" s="13" t="s">
        <v>81</v>
      </c>
      <c r="E7" s="14" t="n">
        <v>5526</v>
      </c>
      <c r="F7" s="13" t="s">
        <v>55</v>
      </c>
      <c r="G7" s="13" t="n">
        <v>2024</v>
      </c>
      <c r="H7" s="12" t="s">
        <v>56</v>
      </c>
      <c r="I7" s="15" t="n">
        <v>45349</v>
      </c>
      <c r="J7" s="15" t="n">
        <v>45715</v>
      </c>
      <c r="K7" s="13" t="str">
        <f aca="true">IF(J7&gt;=TODAY(),"Vigente","Encerrado")</f>
        <v>Encerrado</v>
      </c>
      <c r="L7" s="16" t="n">
        <f aca="false">ROUND((J7-I7)/30.44,1)</f>
        <v>12</v>
      </c>
      <c r="M7" s="17" t="n">
        <v>28800</v>
      </c>
      <c r="N7" s="17" t="n">
        <f aca="false">IF(L7=0,"",M7/L7)</f>
        <v>2400</v>
      </c>
      <c r="O7" s="18" t="n">
        <f aca="false">IF(E7=0,"",N7*12/E7)</f>
        <v>5.21172638436482</v>
      </c>
      <c r="P7" s="12" t="s">
        <v>57</v>
      </c>
      <c r="Q7" s="12" t="s">
        <v>82</v>
      </c>
      <c r="R7" s="12" t="s">
        <v>83</v>
      </c>
    </row>
    <row r="8" customFormat="false" ht="15" hidden="false" customHeight="false" outlineLevel="0" collapsed="false">
      <c r="A8" s="5" t="s">
        <v>84</v>
      </c>
      <c r="B8" s="5" t="s">
        <v>52</v>
      </c>
      <c r="C8" s="5" t="s">
        <v>85</v>
      </c>
      <c r="D8" s="6" t="s">
        <v>67</v>
      </c>
      <c r="E8" s="7" t="n">
        <v>5586</v>
      </c>
      <c r="F8" s="6" t="s">
        <v>55</v>
      </c>
      <c r="G8" s="6" t="n">
        <v>2025</v>
      </c>
      <c r="H8" s="5" t="s">
        <v>62</v>
      </c>
      <c r="I8" s="8" t="n">
        <v>45999</v>
      </c>
      <c r="J8" s="8" t="n">
        <v>46364</v>
      </c>
      <c r="K8" s="6" t="str">
        <f aca="true">IF(J8&gt;=TODAY(),"Vigente","Encerrado")</f>
        <v>Vigente</v>
      </c>
      <c r="L8" s="9" t="n">
        <f aca="false">ROUND((J8-I8)/30.44,1)</f>
        <v>12</v>
      </c>
      <c r="M8" s="10" t="n">
        <v>29888</v>
      </c>
      <c r="N8" s="10" t="n">
        <f aca="false">IF(L8=0,"",M8/L8)</f>
        <v>2490.66666666667</v>
      </c>
      <c r="O8" s="11" t="n">
        <f aca="false">IF(E8=0,"",N8*12/E8)</f>
        <v>5.35051915503043</v>
      </c>
      <c r="P8" s="5" t="s">
        <v>57</v>
      </c>
      <c r="Q8" s="5" t="s">
        <v>86</v>
      </c>
      <c r="R8" s="5" t="s">
        <v>87</v>
      </c>
    </row>
    <row r="9" customFormat="false" ht="15" hidden="false" customHeight="false" outlineLevel="0" collapsed="false">
      <c r="A9" s="12" t="s">
        <v>88</v>
      </c>
      <c r="B9" s="12" t="s">
        <v>52</v>
      </c>
      <c r="C9" s="12" t="s">
        <v>89</v>
      </c>
      <c r="D9" s="13" t="s">
        <v>67</v>
      </c>
      <c r="E9" s="14" t="n">
        <v>10646</v>
      </c>
      <c r="F9" s="13" t="s">
        <v>55</v>
      </c>
      <c r="G9" s="13" t="n">
        <v>2026</v>
      </c>
      <c r="H9" s="12" t="s">
        <v>56</v>
      </c>
      <c r="I9" s="15" t="n">
        <v>46168</v>
      </c>
      <c r="J9" s="15" t="n">
        <v>46533</v>
      </c>
      <c r="K9" s="13" t="str">
        <f aca="true">IF(J9&gt;=TODAY(),"Vigente","Encerrado")</f>
        <v>Vigente</v>
      </c>
      <c r="L9" s="16" t="n">
        <f aca="false">ROUND((J9-I9)/30.44,1)</f>
        <v>12</v>
      </c>
      <c r="M9" s="17" t="n">
        <v>30333.24</v>
      </c>
      <c r="N9" s="17" t="n">
        <f aca="false">IF(L9=0,"",M9/L9)</f>
        <v>2527.77</v>
      </c>
      <c r="O9" s="18" t="n">
        <f aca="false">IF(E9=0,"",N9*12/E9)</f>
        <v>2.84926169453316</v>
      </c>
      <c r="P9" s="12" t="s">
        <v>57</v>
      </c>
      <c r="Q9" s="12" t="s">
        <v>90</v>
      </c>
      <c r="R9" s="12" t="s">
        <v>91</v>
      </c>
    </row>
    <row r="10" customFormat="false" ht="15" hidden="false" customHeight="false" outlineLevel="0" collapsed="false">
      <c r="A10" s="5" t="s">
        <v>92</v>
      </c>
      <c r="B10" s="5" t="s">
        <v>52</v>
      </c>
      <c r="C10" s="5" t="s">
        <v>93</v>
      </c>
      <c r="D10" s="6" t="s">
        <v>94</v>
      </c>
      <c r="E10" s="7" t="n">
        <v>2907</v>
      </c>
      <c r="F10" s="6" t="s">
        <v>55</v>
      </c>
      <c r="G10" s="6" t="n">
        <v>2025</v>
      </c>
      <c r="H10" s="5" t="s">
        <v>95</v>
      </c>
      <c r="I10" s="8" t="n">
        <v>45874</v>
      </c>
      <c r="J10" s="8" t="n">
        <v>46239</v>
      </c>
      <c r="K10" s="6" t="str">
        <f aca="true">IF(J10&gt;=TODAY(),"Vigente","Encerrado")</f>
        <v>Encerrado</v>
      </c>
      <c r="L10" s="9" t="n">
        <f aca="false">ROUND((J10-I10)/30.44,1)</f>
        <v>12</v>
      </c>
      <c r="M10" s="10" t="n">
        <v>32400</v>
      </c>
      <c r="N10" s="10" t="n">
        <f aca="false">IF(L10=0,"",M10/L10)</f>
        <v>2700</v>
      </c>
      <c r="O10" s="11" t="n">
        <f aca="false">IF(E10=0,"",N10*12/E10)</f>
        <v>11.1455108359133</v>
      </c>
      <c r="P10" s="5" t="s">
        <v>57</v>
      </c>
      <c r="Q10" s="5" t="s">
        <v>96</v>
      </c>
      <c r="R10" s="5" t="s">
        <v>97</v>
      </c>
    </row>
    <row r="11" customFormat="false" ht="15" hidden="false" customHeight="false" outlineLevel="0" collapsed="false">
      <c r="A11" s="12" t="s">
        <v>98</v>
      </c>
      <c r="B11" s="12" t="s">
        <v>52</v>
      </c>
      <c r="C11" s="12" t="s">
        <v>99</v>
      </c>
      <c r="D11" s="13" t="s">
        <v>76</v>
      </c>
      <c r="E11" s="14" t="n">
        <v>6163</v>
      </c>
      <c r="F11" s="13" t="s">
        <v>55</v>
      </c>
      <c r="G11" s="13" t="n">
        <v>2025</v>
      </c>
      <c r="H11" s="12" t="s">
        <v>56</v>
      </c>
      <c r="I11" s="15" t="n">
        <v>45962</v>
      </c>
      <c r="J11" s="15" t="n">
        <v>46327</v>
      </c>
      <c r="K11" s="13" t="str">
        <f aca="true">IF(J11&gt;=TODAY(),"Vigente","Encerrado")</f>
        <v>Vigente</v>
      </c>
      <c r="L11" s="16" t="n">
        <f aca="false">ROUND((J11-I11)/30.44,1)</f>
        <v>12</v>
      </c>
      <c r="M11" s="17" t="n">
        <v>36000</v>
      </c>
      <c r="N11" s="17" t="n">
        <f aca="false">IF(L11=0,"",M11/L11)</f>
        <v>3000</v>
      </c>
      <c r="O11" s="18" t="n">
        <f aca="false">IF(E11=0,"",N11*12/E11)</f>
        <v>5.8413110498134</v>
      </c>
      <c r="P11" s="12" t="s">
        <v>57</v>
      </c>
      <c r="Q11" s="12" t="s">
        <v>100</v>
      </c>
      <c r="R11" s="12" t="s">
        <v>101</v>
      </c>
    </row>
    <row r="12" customFormat="false" ht="15" hidden="false" customHeight="false" outlineLevel="0" collapsed="false">
      <c r="A12" s="5" t="s">
        <v>102</v>
      </c>
      <c r="B12" s="5" t="s">
        <v>52</v>
      </c>
      <c r="C12" s="5" t="s">
        <v>103</v>
      </c>
      <c r="D12" s="6" t="s">
        <v>104</v>
      </c>
      <c r="E12" s="7" t="n">
        <v>10865</v>
      </c>
      <c r="F12" s="6" t="s">
        <v>55</v>
      </c>
      <c r="G12" s="6" t="n">
        <v>2025</v>
      </c>
      <c r="H12" s="5" t="s">
        <v>62</v>
      </c>
      <c r="I12" s="8" t="n">
        <v>45894</v>
      </c>
      <c r="J12" s="8" t="n">
        <v>46258</v>
      </c>
      <c r="K12" s="6" t="str">
        <f aca="true">IF(J12&gt;=TODAY(),"Vigente","Encerrado")</f>
        <v>Encerrado</v>
      </c>
      <c r="L12" s="9" t="n">
        <f aca="false">ROUND((J12-I12)/30.44,1)</f>
        <v>12</v>
      </c>
      <c r="M12" s="10" t="n">
        <v>36180</v>
      </c>
      <c r="N12" s="10" t="n">
        <f aca="false">IF(L12=0,"",M12/L12)</f>
        <v>3015</v>
      </c>
      <c r="O12" s="11" t="n">
        <f aca="false">IF(E12=0,"",N12*12/E12)</f>
        <v>3.32995858260469</v>
      </c>
      <c r="P12" s="5" t="s">
        <v>57</v>
      </c>
      <c r="Q12" s="5" t="s">
        <v>105</v>
      </c>
      <c r="R12" s="5" t="s">
        <v>106</v>
      </c>
    </row>
    <row r="13" customFormat="false" ht="15" hidden="false" customHeight="false" outlineLevel="0" collapsed="false">
      <c r="A13" s="12" t="s">
        <v>51</v>
      </c>
      <c r="B13" s="12" t="s">
        <v>52</v>
      </c>
      <c r="C13" s="12" t="s">
        <v>53</v>
      </c>
      <c r="D13" s="13" t="s">
        <v>54</v>
      </c>
      <c r="E13" s="14" t="n">
        <v>5623</v>
      </c>
      <c r="F13" s="13" t="s">
        <v>55</v>
      </c>
      <c r="G13" s="13" t="n">
        <v>2026</v>
      </c>
      <c r="H13" s="12" t="s">
        <v>56</v>
      </c>
      <c r="I13" s="15" t="n">
        <v>46140</v>
      </c>
      <c r="J13" s="15" t="n">
        <v>46504</v>
      </c>
      <c r="K13" s="13" t="str">
        <f aca="true">IF(J13&gt;=TODAY(),"Vigente","Encerrado")</f>
        <v>Vigente</v>
      </c>
      <c r="L13" s="16" t="n">
        <f aca="false">ROUND((J13-I13)/30.44,1)</f>
        <v>12</v>
      </c>
      <c r="M13" s="17" t="n">
        <v>36480</v>
      </c>
      <c r="N13" s="17" t="n">
        <f aca="false">IF(L13=0,"",M13/L13)</f>
        <v>3040</v>
      </c>
      <c r="O13" s="18" t="n">
        <f aca="false">IF(E13=0,"",N13*12/E13)</f>
        <v>6.48764004979548</v>
      </c>
      <c r="P13" s="12" t="s">
        <v>57</v>
      </c>
      <c r="Q13" s="12" t="s">
        <v>107</v>
      </c>
      <c r="R13" s="12" t="s">
        <v>108</v>
      </c>
    </row>
    <row r="14" customFormat="false" ht="15" hidden="false" customHeight="false" outlineLevel="0" collapsed="false">
      <c r="A14" s="5" t="s">
        <v>109</v>
      </c>
      <c r="B14" s="5" t="s">
        <v>52</v>
      </c>
      <c r="C14" s="5" t="s">
        <v>110</v>
      </c>
      <c r="D14" s="6" t="s">
        <v>76</v>
      </c>
      <c r="E14" s="7" t="n">
        <v>7125</v>
      </c>
      <c r="F14" s="6" t="s">
        <v>55</v>
      </c>
      <c r="G14" s="6" t="n">
        <v>2025</v>
      </c>
      <c r="H14" s="5" t="s">
        <v>56</v>
      </c>
      <c r="I14" s="8" t="n">
        <v>45854</v>
      </c>
      <c r="J14" s="8" t="n">
        <v>46218</v>
      </c>
      <c r="K14" s="6" t="str">
        <f aca="true">IF(J14&gt;=TODAY(),"Vigente","Encerrado")</f>
        <v>Encerrado</v>
      </c>
      <c r="L14" s="9" t="n">
        <f aca="false">ROUND((J14-I14)/30.44,1)</f>
        <v>12</v>
      </c>
      <c r="M14" s="10" t="n">
        <v>36480</v>
      </c>
      <c r="N14" s="10" t="n">
        <f aca="false">IF(L14=0,"",M14/L14)</f>
        <v>3040</v>
      </c>
      <c r="O14" s="11" t="n">
        <f aca="false">IF(E14=0,"",N14*12/E14)</f>
        <v>5.12</v>
      </c>
      <c r="P14" s="5" t="s">
        <v>57</v>
      </c>
      <c r="Q14" s="5" t="s">
        <v>111</v>
      </c>
      <c r="R14" s="5" t="s">
        <v>112</v>
      </c>
    </row>
    <row r="15" customFormat="false" ht="15" hidden="false" customHeight="false" outlineLevel="0" collapsed="false">
      <c r="A15" s="12" t="s">
        <v>113</v>
      </c>
      <c r="B15" s="12" t="s">
        <v>52</v>
      </c>
      <c r="C15" s="12" t="s">
        <v>114</v>
      </c>
      <c r="D15" s="13" t="s">
        <v>67</v>
      </c>
      <c r="E15" s="14" t="n">
        <v>11371</v>
      </c>
      <c r="F15" s="13" t="s">
        <v>55</v>
      </c>
      <c r="G15" s="13" t="n">
        <v>2026</v>
      </c>
      <c r="H15" s="12" t="s">
        <v>56</v>
      </c>
      <c r="I15" s="15" t="n">
        <v>46230</v>
      </c>
      <c r="J15" s="15" t="n">
        <v>46595</v>
      </c>
      <c r="K15" s="13" t="str">
        <f aca="true">IF(J15&gt;=TODAY(),"Vigente","Encerrado")</f>
        <v>Vigente</v>
      </c>
      <c r="L15" s="16" t="n">
        <f aca="false">ROUND((J15-I15)/30.44,1)</f>
        <v>12</v>
      </c>
      <c r="M15" s="17" t="n">
        <v>38400</v>
      </c>
      <c r="N15" s="17" t="n">
        <f aca="false">IF(L15=0,"",M15/L15)</f>
        <v>3200</v>
      </c>
      <c r="O15" s="18" t="n">
        <f aca="false">IF(E15=0,"",N15*12/E15)</f>
        <v>3.37701169642072</v>
      </c>
      <c r="P15" s="12" t="s">
        <v>57</v>
      </c>
      <c r="Q15" s="12" t="s">
        <v>115</v>
      </c>
      <c r="R15" s="12" t="s">
        <v>116</v>
      </c>
    </row>
    <row r="16" customFormat="false" ht="15" hidden="false" customHeight="false" outlineLevel="0" collapsed="false">
      <c r="A16" s="5" t="s">
        <v>117</v>
      </c>
      <c r="B16" s="5" t="s">
        <v>52</v>
      </c>
      <c r="C16" s="5" t="s">
        <v>118</v>
      </c>
      <c r="D16" s="6" t="s">
        <v>76</v>
      </c>
      <c r="E16" s="7" t="n">
        <v>5079</v>
      </c>
      <c r="F16" s="6" t="s">
        <v>55</v>
      </c>
      <c r="G16" s="6" t="n">
        <v>2025</v>
      </c>
      <c r="H16" s="5" t="s">
        <v>56</v>
      </c>
      <c r="I16" s="8" t="n">
        <v>45853</v>
      </c>
      <c r="J16" s="8" t="n">
        <v>46218</v>
      </c>
      <c r="K16" s="6" t="str">
        <f aca="true">IF(J16&gt;=TODAY(),"Vigente","Encerrado")</f>
        <v>Encerrado</v>
      </c>
      <c r="L16" s="9" t="n">
        <f aca="false">ROUND((J16-I16)/30.44,1)</f>
        <v>12</v>
      </c>
      <c r="M16" s="10" t="n">
        <v>40200</v>
      </c>
      <c r="N16" s="10" t="n">
        <f aca="false">IF(L16=0,"",M16/L16)</f>
        <v>3350</v>
      </c>
      <c r="O16" s="11" t="n">
        <f aca="false">IF(E16=0,"",N16*12/E16)</f>
        <v>7.91494388659185</v>
      </c>
      <c r="P16" s="5" t="s">
        <v>57</v>
      </c>
      <c r="Q16" s="5" t="s">
        <v>119</v>
      </c>
      <c r="R16" s="5" t="s">
        <v>120</v>
      </c>
    </row>
    <row r="17" customFormat="false" ht="15" hidden="false" customHeight="false" outlineLevel="0" collapsed="false">
      <c r="A17" s="12" t="s">
        <v>121</v>
      </c>
      <c r="B17" s="12" t="s">
        <v>52</v>
      </c>
      <c r="C17" s="12" t="s">
        <v>122</v>
      </c>
      <c r="D17" s="13" t="s">
        <v>104</v>
      </c>
      <c r="E17" s="14" t="n">
        <v>5964</v>
      </c>
      <c r="F17" s="13" t="s">
        <v>55</v>
      </c>
      <c r="G17" s="13" t="n">
        <v>2025</v>
      </c>
      <c r="H17" s="12" t="s">
        <v>56</v>
      </c>
      <c r="I17" s="15" t="n">
        <v>45705</v>
      </c>
      <c r="J17" s="15" t="n">
        <v>46070</v>
      </c>
      <c r="K17" s="13" t="str">
        <f aca="true">IF(J17&gt;=TODAY(),"Vigente","Encerrado")</f>
        <v>Encerrado</v>
      </c>
      <c r="L17" s="16" t="n">
        <f aca="false">ROUND((J17-I17)/30.44,1)</f>
        <v>12</v>
      </c>
      <c r="M17" s="17" t="n">
        <v>41580</v>
      </c>
      <c r="N17" s="17" t="n">
        <f aca="false">IF(L17=0,"",M17/L17)</f>
        <v>3465</v>
      </c>
      <c r="O17" s="18" t="n">
        <f aca="false">IF(E17=0,"",N17*12/E17)</f>
        <v>6.97183098591549</v>
      </c>
      <c r="P17" s="12" t="s">
        <v>57</v>
      </c>
      <c r="Q17" s="12" t="s">
        <v>123</v>
      </c>
      <c r="R17" s="12" t="s">
        <v>124</v>
      </c>
    </row>
    <row r="18" customFormat="false" ht="15" hidden="false" customHeight="false" outlineLevel="0" collapsed="false">
      <c r="A18" s="5" t="s">
        <v>125</v>
      </c>
      <c r="B18" s="5" t="s">
        <v>52</v>
      </c>
      <c r="C18" s="5" t="s">
        <v>126</v>
      </c>
      <c r="D18" s="6" t="s">
        <v>127</v>
      </c>
      <c r="E18" s="7" t="n">
        <v>7206</v>
      </c>
      <c r="F18" s="6" t="s">
        <v>55</v>
      </c>
      <c r="G18" s="6" t="n">
        <v>2025</v>
      </c>
      <c r="H18" s="5" t="s">
        <v>128</v>
      </c>
      <c r="I18" s="8" t="n">
        <v>45699</v>
      </c>
      <c r="J18" s="8" t="n">
        <v>46064</v>
      </c>
      <c r="K18" s="6" t="str">
        <f aca="true">IF(J18&gt;=TODAY(),"Vigente","Encerrado")</f>
        <v>Encerrado</v>
      </c>
      <c r="L18" s="9" t="n">
        <f aca="false">ROUND((J18-I18)/30.44,1)</f>
        <v>12</v>
      </c>
      <c r="M18" s="10" t="n">
        <v>43200</v>
      </c>
      <c r="N18" s="10" t="n">
        <f aca="false">IF(L18=0,"",M18/L18)</f>
        <v>3600</v>
      </c>
      <c r="O18" s="11" t="n">
        <f aca="false">IF(E18=0,"",N18*12/E18)</f>
        <v>5.99500416319734</v>
      </c>
      <c r="P18" s="5" t="s">
        <v>57</v>
      </c>
      <c r="Q18" s="5" t="s">
        <v>129</v>
      </c>
      <c r="R18" s="5" t="s">
        <v>130</v>
      </c>
    </row>
    <row r="19" customFormat="false" ht="15" hidden="false" customHeight="false" outlineLevel="0" collapsed="false">
      <c r="A19" s="12" t="s">
        <v>131</v>
      </c>
      <c r="B19" s="12" t="s">
        <v>52</v>
      </c>
      <c r="C19" s="12" t="s">
        <v>132</v>
      </c>
      <c r="D19" s="13" t="s">
        <v>76</v>
      </c>
      <c r="E19" s="14" t="n">
        <v>6405</v>
      </c>
      <c r="F19" s="13" t="s">
        <v>55</v>
      </c>
      <c r="G19" s="13" t="n">
        <v>2026</v>
      </c>
      <c r="H19" s="12" t="s">
        <v>56</v>
      </c>
      <c r="I19" s="15" t="n">
        <v>46062</v>
      </c>
      <c r="J19" s="15" t="n">
        <v>46427</v>
      </c>
      <c r="K19" s="13" t="str">
        <f aca="true">IF(J19&gt;=TODAY(),"Vigente","Encerrado")</f>
        <v>Vigente</v>
      </c>
      <c r="L19" s="16" t="n">
        <f aca="false">ROUND((J19-I19)/30.44,1)</f>
        <v>12</v>
      </c>
      <c r="M19" s="17" t="n">
        <v>55000</v>
      </c>
      <c r="N19" s="17" t="n">
        <f aca="false">IF(L19=0,"",M19/L19)</f>
        <v>4583.33333333333</v>
      </c>
      <c r="O19" s="18" t="n">
        <f aca="false">IF(E19=0,"",N19*12/E19)</f>
        <v>8.58704137392662</v>
      </c>
      <c r="P19" s="12" t="s">
        <v>57</v>
      </c>
      <c r="Q19" s="12" t="s">
        <v>133</v>
      </c>
      <c r="R19" s="12" t="s">
        <v>134</v>
      </c>
    </row>
    <row r="20" customFormat="false" ht="15" hidden="false" customHeight="false" outlineLevel="0" collapsed="false">
      <c r="A20" s="5" t="s">
        <v>135</v>
      </c>
      <c r="B20" s="5" t="s">
        <v>52</v>
      </c>
      <c r="C20" s="5" t="s">
        <v>136</v>
      </c>
      <c r="D20" s="6" t="s">
        <v>104</v>
      </c>
      <c r="E20" s="7" t="n">
        <v>17320</v>
      </c>
      <c r="F20" s="6" t="s">
        <v>55</v>
      </c>
      <c r="G20" s="6" t="n">
        <v>2025</v>
      </c>
      <c r="H20" s="5" t="s">
        <v>128</v>
      </c>
      <c r="I20" s="8" t="n">
        <v>45869</v>
      </c>
      <c r="J20" s="8" t="n">
        <v>46233</v>
      </c>
      <c r="K20" s="6" t="str">
        <f aca="true">IF(J20&gt;=TODAY(),"Vigente","Encerrado")</f>
        <v>Encerrado</v>
      </c>
      <c r="L20" s="9" t="n">
        <f aca="false">ROUND((J20-I20)/30.44,1)</f>
        <v>12</v>
      </c>
      <c r="M20" s="10" t="n">
        <v>64800</v>
      </c>
      <c r="N20" s="10" t="n">
        <f aca="false">IF(L20=0,"",M20/L20)</f>
        <v>5400</v>
      </c>
      <c r="O20" s="11" t="n">
        <f aca="false">IF(E20=0,"",N20*12/E20)</f>
        <v>3.74133949191686</v>
      </c>
      <c r="P20" s="5" t="s">
        <v>57</v>
      </c>
      <c r="Q20" s="5" t="s">
        <v>137</v>
      </c>
      <c r="R20" s="5" t="s">
        <v>138</v>
      </c>
    </row>
    <row r="21" customFormat="false" ht="15" hidden="false" customHeight="false" outlineLevel="0" collapsed="false">
      <c r="A21" s="12" t="s">
        <v>139</v>
      </c>
      <c r="B21" s="12" t="s">
        <v>52</v>
      </c>
      <c r="C21" s="12" t="s">
        <v>140</v>
      </c>
      <c r="D21" s="13" t="s">
        <v>67</v>
      </c>
      <c r="E21" s="14" t="n">
        <v>12230</v>
      </c>
      <c r="F21" s="13" t="s">
        <v>55</v>
      </c>
      <c r="G21" s="13" t="n">
        <v>2025</v>
      </c>
      <c r="H21" s="12" t="s">
        <v>128</v>
      </c>
      <c r="I21" s="15" t="n">
        <v>45904</v>
      </c>
      <c r="J21" s="15" t="n">
        <v>46268</v>
      </c>
      <c r="K21" s="13" t="str">
        <f aca="true">IF(J21&gt;=TODAY(),"Vigente","Encerrado")</f>
        <v>Encerrado</v>
      </c>
      <c r="L21" s="16" t="n">
        <f aca="false">ROUND((J21-I21)/30.44,1)</f>
        <v>12</v>
      </c>
      <c r="M21" s="17" t="n">
        <v>72900</v>
      </c>
      <c r="N21" s="17" t="n">
        <f aca="false">IF(L21=0,"",M21/L21)</f>
        <v>6075</v>
      </c>
      <c r="O21" s="18" t="n">
        <f aca="false">IF(E21=0,"",N21*12/E21)</f>
        <v>5.96075224856909</v>
      </c>
      <c r="P21" s="12" t="s">
        <v>57</v>
      </c>
      <c r="Q21" s="12" t="s">
        <v>141</v>
      </c>
      <c r="R21" s="12" t="s">
        <v>142</v>
      </c>
    </row>
    <row r="22" customFormat="false" ht="15" hidden="false" customHeight="false" outlineLevel="0" collapsed="false">
      <c r="A22" s="5" t="s">
        <v>143</v>
      </c>
      <c r="B22" s="5" t="s">
        <v>52</v>
      </c>
      <c r="C22" s="5" t="s">
        <v>144</v>
      </c>
      <c r="D22" s="6" t="s">
        <v>54</v>
      </c>
      <c r="E22" s="7" t="n">
        <v>6397</v>
      </c>
      <c r="F22" s="6" t="s">
        <v>55</v>
      </c>
      <c r="G22" s="6" t="n">
        <v>2025</v>
      </c>
      <c r="H22" s="5" t="s">
        <v>62</v>
      </c>
      <c r="I22" s="8" t="n">
        <v>45728</v>
      </c>
      <c r="J22" s="8" t="n">
        <v>46092</v>
      </c>
      <c r="K22" s="6" t="str">
        <f aca="true">IF(J22&gt;=TODAY(),"Vigente","Encerrado")</f>
        <v>Encerrado</v>
      </c>
      <c r="L22" s="9" t="n">
        <f aca="false">ROUND((J22-I22)/30.44,1)</f>
        <v>12</v>
      </c>
      <c r="M22" s="10" t="n">
        <v>84400</v>
      </c>
      <c r="N22" s="10" t="n">
        <f aca="false">IF(L22=0,"",M22/L22)</f>
        <v>7033.33333333333</v>
      </c>
      <c r="O22" s="11" t="n">
        <f aca="false">IF(E22=0,"",N22*12/E22)</f>
        <v>13.193684539628</v>
      </c>
      <c r="P22" s="5" t="s">
        <v>57</v>
      </c>
      <c r="Q22" s="5" t="s">
        <v>145</v>
      </c>
      <c r="R22" s="5" t="s">
        <v>146</v>
      </c>
    </row>
    <row r="23" customFormat="false" ht="15" hidden="false" customHeight="false" outlineLevel="0" collapsed="false">
      <c r="A23" s="12" t="s">
        <v>147</v>
      </c>
      <c r="B23" s="12" t="s">
        <v>52</v>
      </c>
      <c r="C23" s="12" t="s">
        <v>148</v>
      </c>
      <c r="D23" s="13" t="s">
        <v>76</v>
      </c>
      <c r="E23" s="14" t="n">
        <v>16346</v>
      </c>
      <c r="F23" s="13" t="s">
        <v>55</v>
      </c>
      <c r="G23" s="13" t="n">
        <v>2025</v>
      </c>
      <c r="H23" s="12" t="s">
        <v>62</v>
      </c>
      <c r="I23" s="15" t="n">
        <v>46001</v>
      </c>
      <c r="J23" s="15" t="n">
        <v>46365</v>
      </c>
      <c r="K23" s="13" t="str">
        <f aca="true">IF(J23&gt;=TODAY(),"Vigente","Encerrado")</f>
        <v>Vigente</v>
      </c>
      <c r="L23" s="16" t="n">
        <f aca="false">ROUND((J23-I23)/30.44,1)</f>
        <v>12</v>
      </c>
      <c r="M23" s="17" t="n">
        <v>97740</v>
      </c>
      <c r="N23" s="17" t="n">
        <f aca="false">IF(L23=0,"",M23/L23)</f>
        <v>8145</v>
      </c>
      <c r="O23" s="18" t="n">
        <f aca="false">IF(E23=0,"",N23*12/E23)</f>
        <v>5.97944451241894</v>
      </c>
      <c r="P23" s="12" t="s">
        <v>57</v>
      </c>
      <c r="Q23" s="12" t="s">
        <v>149</v>
      </c>
      <c r="R23" s="12" t="s">
        <v>150</v>
      </c>
    </row>
    <row r="24" customFormat="false" ht="15" hidden="false" customHeight="false" outlineLevel="0" collapsed="false">
      <c r="A24" s="5" t="s">
        <v>151</v>
      </c>
      <c r="B24" s="5" t="s">
        <v>52</v>
      </c>
      <c r="C24" s="5" t="s">
        <v>152</v>
      </c>
      <c r="D24" s="6" t="s">
        <v>81</v>
      </c>
      <c r="E24" s="7" t="n">
        <v>19427</v>
      </c>
      <c r="F24" s="6" t="s">
        <v>55</v>
      </c>
      <c r="G24" s="6" t="n">
        <v>2025</v>
      </c>
      <c r="H24" s="5" t="s">
        <v>56</v>
      </c>
      <c r="I24" s="8" t="n">
        <v>45895</v>
      </c>
      <c r="J24" s="8" t="n">
        <v>46016</v>
      </c>
      <c r="K24" s="6" t="str">
        <f aca="true">IF(J24&gt;=TODAY(),"Vigente","Encerrado")</f>
        <v>Encerrado</v>
      </c>
      <c r="L24" s="9" t="n">
        <f aca="false">ROUND((J24-I24)/30.44,1)</f>
        <v>4</v>
      </c>
      <c r="M24" s="10" t="n">
        <v>34300</v>
      </c>
      <c r="N24" s="10" t="n">
        <f aca="false">IF(L24=0,"",M24/L24)</f>
        <v>8575</v>
      </c>
      <c r="O24" s="11" t="n">
        <f aca="false">IF(E24=0,"",N24*12/E24)</f>
        <v>5.29675194317187</v>
      </c>
      <c r="P24" s="5" t="s">
        <v>57</v>
      </c>
      <c r="Q24" s="5" t="s">
        <v>153</v>
      </c>
      <c r="R24" s="5" t="s">
        <v>154</v>
      </c>
    </row>
    <row r="25" customFormat="false" ht="15" hidden="false" customHeight="false" outlineLevel="0" collapsed="false">
      <c r="A25" s="12" t="s">
        <v>155</v>
      </c>
      <c r="B25" s="12" t="s">
        <v>52</v>
      </c>
      <c r="C25" s="12" t="s">
        <v>156</v>
      </c>
      <c r="D25" s="13" t="s">
        <v>127</v>
      </c>
      <c r="E25" s="14" t="n">
        <v>68329</v>
      </c>
      <c r="F25" s="13" t="s">
        <v>157</v>
      </c>
      <c r="G25" s="13" t="n">
        <v>2025</v>
      </c>
      <c r="H25" s="12" t="s">
        <v>56</v>
      </c>
      <c r="I25" s="15" t="n">
        <v>45820</v>
      </c>
      <c r="J25" s="15" t="n">
        <v>46185</v>
      </c>
      <c r="K25" s="13" t="str">
        <f aca="true">IF(J25&gt;=TODAY(),"Vigente","Encerrado")</f>
        <v>Encerrado</v>
      </c>
      <c r="L25" s="16" t="n">
        <f aca="false">ROUND((J25-I25)/30.44,1)</f>
        <v>12</v>
      </c>
      <c r="M25" s="17" t="n">
        <v>8100</v>
      </c>
      <c r="N25" s="17" t="n">
        <f aca="false">IF(L25=0,"",M25/L25)</f>
        <v>675</v>
      </c>
      <c r="O25" s="18" t="n">
        <f aca="false">IF(E25=0,"",N25*12/E25)</f>
        <v>0.118544102796763</v>
      </c>
      <c r="P25" s="12" t="s">
        <v>57</v>
      </c>
      <c r="Q25" s="12" t="s">
        <v>158</v>
      </c>
      <c r="R25" s="12" t="s">
        <v>159</v>
      </c>
    </row>
    <row r="26" customFormat="false" ht="15" hidden="false" customHeight="false" outlineLevel="0" collapsed="false">
      <c r="A26" s="5" t="s">
        <v>155</v>
      </c>
      <c r="B26" s="5" t="s">
        <v>52</v>
      </c>
      <c r="C26" s="5" t="s">
        <v>156</v>
      </c>
      <c r="D26" s="6" t="s">
        <v>127</v>
      </c>
      <c r="E26" s="7" t="n">
        <v>68329</v>
      </c>
      <c r="F26" s="6" t="s">
        <v>157</v>
      </c>
      <c r="G26" s="6" t="n">
        <v>2025</v>
      </c>
      <c r="H26" s="5" t="s">
        <v>56</v>
      </c>
      <c r="I26" s="8" t="n">
        <v>45820</v>
      </c>
      <c r="J26" s="8" t="n">
        <v>46185</v>
      </c>
      <c r="K26" s="6" t="str">
        <f aca="true">IF(J26&gt;=TODAY(),"Vigente","Encerrado")</f>
        <v>Encerrado</v>
      </c>
      <c r="L26" s="9" t="n">
        <f aca="false">ROUND((J26-I26)/30.44,1)</f>
        <v>12</v>
      </c>
      <c r="M26" s="10" t="n">
        <v>21600</v>
      </c>
      <c r="N26" s="10" t="n">
        <f aca="false">IF(L26=0,"",M26/L26)</f>
        <v>1800</v>
      </c>
      <c r="O26" s="11" t="n">
        <f aca="false">IF(E26=0,"",N26*12/E26)</f>
        <v>0.316117607458034</v>
      </c>
      <c r="P26" s="5" t="s">
        <v>57</v>
      </c>
      <c r="Q26" s="5" t="s">
        <v>160</v>
      </c>
      <c r="R26" s="5" t="s">
        <v>161</v>
      </c>
    </row>
    <row r="27" customFormat="false" ht="15" hidden="false" customHeight="false" outlineLevel="0" collapsed="false">
      <c r="A27" s="12" t="s">
        <v>162</v>
      </c>
      <c r="B27" s="12" t="s">
        <v>52</v>
      </c>
      <c r="C27" s="12" t="s">
        <v>163</v>
      </c>
      <c r="D27" s="13" t="s">
        <v>164</v>
      </c>
      <c r="E27" s="14" t="n">
        <v>47558</v>
      </c>
      <c r="F27" s="13" t="s">
        <v>157</v>
      </c>
      <c r="G27" s="13" t="n">
        <v>2024</v>
      </c>
      <c r="H27" s="12" t="s">
        <v>128</v>
      </c>
      <c r="I27" s="15" t="n">
        <v>45420</v>
      </c>
      <c r="J27" s="15" t="n">
        <v>45785</v>
      </c>
      <c r="K27" s="13" t="str">
        <f aca="true">IF(J27&gt;=TODAY(),"Vigente","Encerrado")</f>
        <v>Encerrado</v>
      </c>
      <c r="L27" s="16" t="n">
        <f aca="false">ROUND((J27-I27)/30.44,1)</f>
        <v>12</v>
      </c>
      <c r="M27" s="17" t="n">
        <v>25200</v>
      </c>
      <c r="N27" s="17" t="n">
        <f aca="false">IF(L27=0,"",M27/L27)</f>
        <v>2100</v>
      </c>
      <c r="O27" s="18" t="n">
        <f aca="false">IF(E27=0,"",N27*12/E27)</f>
        <v>0.529879305269355</v>
      </c>
      <c r="P27" s="12" t="s">
        <v>57</v>
      </c>
      <c r="Q27" s="12" t="s">
        <v>165</v>
      </c>
      <c r="R27" s="12" t="s">
        <v>166</v>
      </c>
    </row>
    <row r="28" customFormat="false" ht="15" hidden="false" customHeight="false" outlineLevel="0" collapsed="false">
      <c r="A28" s="5" t="s">
        <v>155</v>
      </c>
      <c r="B28" s="5" t="s">
        <v>52</v>
      </c>
      <c r="C28" s="5" t="s">
        <v>156</v>
      </c>
      <c r="D28" s="6" t="s">
        <v>127</v>
      </c>
      <c r="E28" s="7" t="n">
        <v>68329</v>
      </c>
      <c r="F28" s="6" t="s">
        <v>157</v>
      </c>
      <c r="G28" s="6" t="n">
        <v>2025</v>
      </c>
      <c r="H28" s="5" t="s">
        <v>56</v>
      </c>
      <c r="I28" s="8" t="n">
        <v>45820</v>
      </c>
      <c r="J28" s="8" t="n">
        <v>46185</v>
      </c>
      <c r="K28" s="6" t="str">
        <f aca="true">IF(J28&gt;=TODAY(),"Vigente","Encerrado")</f>
        <v>Encerrado</v>
      </c>
      <c r="L28" s="9" t="n">
        <f aca="false">ROUND((J28-I28)/30.44,1)</f>
        <v>12</v>
      </c>
      <c r="M28" s="10" t="n">
        <v>27000</v>
      </c>
      <c r="N28" s="10" t="n">
        <f aca="false">IF(L28=0,"",M28/L28)</f>
        <v>2250</v>
      </c>
      <c r="O28" s="11" t="n">
        <f aca="false">IF(E28=0,"",N28*12/E28)</f>
        <v>0.395147009322542</v>
      </c>
      <c r="P28" s="5" t="s">
        <v>57</v>
      </c>
      <c r="Q28" s="5" t="s">
        <v>167</v>
      </c>
      <c r="R28" s="5" t="s">
        <v>168</v>
      </c>
    </row>
    <row r="29" customFormat="false" ht="15" hidden="false" customHeight="false" outlineLevel="0" collapsed="false">
      <c r="A29" s="12" t="s">
        <v>169</v>
      </c>
      <c r="B29" s="12" t="s">
        <v>52</v>
      </c>
      <c r="C29" s="12" t="s">
        <v>170</v>
      </c>
      <c r="D29" s="13" t="s">
        <v>127</v>
      </c>
      <c r="E29" s="14" t="n">
        <v>59638</v>
      </c>
      <c r="F29" s="13" t="s">
        <v>157</v>
      </c>
      <c r="G29" s="13" t="n">
        <v>2025</v>
      </c>
      <c r="H29" s="12" t="s">
        <v>56</v>
      </c>
      <c r="I29" s="15" t="n">
        <v>46001</v>
      </c>
      <c r="J29" s="15" t="n">
        <v>46366</v>
      </c>
      <c r="K29" s="13" t="str">
        <f aca="true">IF(J29&gt;=TODAY(),"Vigente","Encerrado")</f>
        <v>Vigente</v>
      </c>
      <c r="L29" s="16" t="n">
        <f aca="false">ROUND((J29-I29)/30.44,1)</f>
        <v>12</v>
      </c>
      <c r="M29" s="17" t="n">
        <v>34440</v>
      </c>
      <c r="N29" s="17" t="n">
        <f aca="false">IF(L29=0,"",M29/L29)</f>
        <v>2870</v>
      </c>
      <c r="O29" s="18" t="n">
        <f aca="false">IF(E29=0,"",N29*12/E29)</f>
        <v>0.577484154398202</v>
      </c>
      <c r="P29" s="12" t="s">
        <v>57</v>
      </c>
      <c r="Q29" s="12" t="s">
        <v>171</v>
      </c>
      <c r="R29" s="12" t="s">
        <v>172</v>
      </c>
    </row>
    <row r="30" customFormat="false" ht="15" hidden="false" customHeight="false" outlineLevel="0" collapsed="false">
      <c r="A30" s="5" t="s">
        <v>155</v>
      </c>
      <c r="B30" s="5" t="s">
        <v>52</v>
      </c>
      <c r="C30" s="5" t="s">
        <v>156</v>
      </c>
      <c r="D30" s="6" t="s">
        <v>127</v>
      </c>
      <c r="E30" s="7" t="n">
        <v>68329</v>
      </c>
      <c r="F30" s="6" t="s">
        <v>157</v>
      </c>
      <c r="G30" s="6" t="n">
        <v>2025</v>
      </c>
      <c r="H30" s="5" t="s">
        <v>56</v>
      </c>
      <c r="I30" s="8" t="n">
        <v>45820</v>
      </c>
      <c r="J30" s="8" t="n">
        <v>46185</v>
      </c>
      <c r="K30" s="6" t="str">
        <f aca="true">IF(J30&gt;=TODAY(),"Vigente","Encerrado")</f>
        <v>Encerrado</v>
      </c>
      <c r="L30" s="9" t="n">
        <f aca="false">ROUND((J30-I30)/30.44,1)</f>
        <v>12</v>
      </c>
      <c r="M30" s="10" t="n">
        <v>37800</v>
      </c>
      <c r="N30" s="10" t="n">
        <f aca="false">IF(L30=0,"",M30/L30)</f>
        <v>3150</v>
      </c>
      <c r="O30" s="11" t="n">
        <f aca="false">IF(E30=0,"",N30*12/E30)</f>
        <v>0.553205813051559</v>
      </c>
      <c r="P30" s="5" t="s">
        <v>57</v>
      </c>
      <c r="Q30" s="5" t="s">
        <v>173</v>
      </c>
      <c r="R30" s="5" t="s">
        <v>174</v>
      </c>
    </row>
    <row r="31" customFormat="false" ht="15" hidden="false" customHeight="false" outlineLevel="0" collapsed="false">
      <c r="A31" s="12" t="s">
        <v>175</v>
      </c>
      <c r="B31" s="12" t="s">
        <v>52</v>
      </c>
      <c r="C31" s="12" t="s">
        <v>176</v>
      </c>
      <c r="D31" s="13" t="s">
        <v>177</v>
      </c>
      <c r="E31" s="14" t="n">
        <v>47596</v>
      </c>
      <c r="F31" s="13" t="s">
        <v>157</v>
      </c>
      <c r="G31" s="13" t="n">
        <v>2023</v>
      </c>
      <c r="H31" s="12" t="s">
        <v>56</v>
      </c>
      <c r="I31" s="15" t="n">
        <v>45054</v>
      </c>
      <c r="J31" s="15" t="n">
        <v>45420</v>
      </c>
      <c r="K31" s="13" t="str">
        <f aca="true">IF(J31&gt;=TODAY(),"Vigente","Encerrado")</f>
        <v>Encerrado</v>
      </c>
      <c r="L31" s="16" t="n">
        <f aca="false">ROUND((J31-I31)/30.44,1)</f>
        <v>12</v>
      </c>
      <c r="M31" s="17" t="n">
        <v>54000</v>
      </c>
      <c r="N31" s="17" t="n">
        <f aca="false">IF(L31=0,"",M31/L31)</f>
        <v>4500</v>
      </c>
      <c r="O31" s="18" t="n">
        <f aca="false">IF(E31=0,"",N31*12/E31)</f>
        <v>1.13454912177494</v>
      </c>
      <c r="P31" s="12" t="s">
        <v>57</v>
      </c>
      <c r="Q31" s="12" t="s">
        <v>178</v>
      </c>
      <c r="R31" s="12" t="s">
        <v>179</v>
      </c>
    </row>
    <row r="32" customFormat="false" ht="15" hidden="false" customHeight="false" outlineLevel="0" collapsed="false">
      <c r="A32" s="5" t="s">
        <v>180</v>
      </c>
      <c r="B32" s="5" t="s">
        <v>52</v>
      </c>
      <c r="C32" s="5" t="s">
        <v>176</v>
      </c>
      <c r="D32" s="6" t="s">
        <v>177</v>
      </c>
      <c r="E32" s="7" t="n">
        <v>47596</v>
      </c>
      <c r="F32" s="6" t="s">
        <v>157</v>
      </c>
      <c r="G32" s="6" t="n">
        <v>2023</v>
      </c>
      <c r="H32" s="5" t="s">
        <v>56</v>
      </c>
      <c r="I32" s="8" t="n">
        <v>45054</v>
      </c>
      <c r="J32" s="8" t="n">
        <v>45420</v>
      </c>
      <c r="K32" s="6" t="str">
        <f aca="true">IF(J32&gt;=TODAY(),"Vigente","Encerrado")</f>
        <v>Encerrado</v>
      </c>
      <c r="L32" s="9" t="n">
        <f aca="false">ROUND((J32-I32)/30.44,1)</f>
        <v>12</v>
      </c>
      <c r="M32" s="10" t="n">
        <v>54000</v>
      </c>
      <c r="N32" s="10" t="n">
        <f aca="false">IF(L32=0,"",M32/L32)</f>
        <v>4500</v>
      </c>
      <c r="O32" s="11" t="n">
        <f aca="false">IF(E32=0,"",N32*12/E32)</f>
        <v>1.13454912177494</v>
      </c>
      <c r="P32" s="5" t="s">
        <v>57</v>
      </c>
      <c r="Q32" s="5" t="s">
        <v>178</v>
      </c>
      <c r="R32" s="5" t="s">
        <v>181</v>
      </c>
    </row>
    <row r="33" customFormat="false" ht="15" hidden="false" customHeight="false" outlineLevel="0" collapsed="false">
      <c r="A33" s="12" t="s">
        <v>182</v>
      </c>
      <c r="B33" s="12" t="s">
        <v>52</v>
      </c>
      <c r="C33" s="12" t="s">
        <v>183</v>
      </c>
      <c r="D33" s="13" t="s">
        <v>184</v>
      </c>
      <c r="E33" s="14" t="n">
        <v>38478</v>
      </c>
      <c r="F33" s="13" t="s">
        <v>157</v>
      </c>
      <c r="G33" s="13" t="n">
        <v>2025</v>
      </c>
      <c r="H33" s="12" t="s">
        <v>56</v>
      </c>
      <c r="I33" s="15" t="n">
        <v>45992</v>
      </c>
      <c r="J33" s="15" t="n">
        <v>46357</v>
      </c>
      <c r="K33" s="13" t="str">
        <f aca="true">IF(J33&gt;=TODAY(),"Vigente","Encerrado")</f>
        <v>Vigente</v>
      </c>
      <c r="L33" s="16" t="n">
        <f aca="false">ROUND((J33-I33)/30.44,1)</f>
        <v>12</v>
      </c>
      <c r="M33" s="17" t="n">
        <v>61999.92</v>
      </c>
      <c r="N33" s="17" t="n">
        <f aca="false">IF(L33=0,"",M33/L33)</f>
        <v>5166.66</v>
      </c>
      <c r="O33" s="18" t="n">
        <f aca="false">IF(E33=0,"",N33*12/E33)</f>
        <v>1.61130828005614</v>
      </c>
      <c r="P33" s="12" t="s">
        <v>57</v>
      </c>
      <c r="Q33" s="12" t="s">
        <v>185</v>
      </c>
      <c r="R33" s="12" t="s">
        <v>186</v>
      </c>
    </row>
    <row r="34" customFormat="false" ht="15" hidden="false" customHeight="false" outlineLevel="0" collapsed="false">
      <c r="A34" s="5" t="s">
        <v>187</v>
      </c>
      <c r="B34" s="5" t="s">
        <v>52</v>
      </c>
      <c r="C34" s="5" t="s">
        <v>188</v>
      </c>
      <c r="D34" s="6" t="s">
        <v>54</v>
      </c>
      <c r="E34" s="7" t="n">
        <v>24474</v>
      </c>
      <c r="F34" s="6" t="s">
        <v>157</v>
      </c>
      <c r="G34" s="6" t="n">
        <v>2026</v>
      </c>
      <c r="H34" s="5" t="s">
        <v>56</v>
      </c>
      <c r="I34" s="8" t="n">
        <v>46098</v>
      </c>
      <c r="J34" s="8" t="n">
        <v>46463</v>
      </c>
      <c r="K34" s="6" t="str">
        <f aca="true">IF(J34&gt;=TODAY(),"Vigente","Encerrado")</f>
        <v>Vigente</v>
      </c>
      <c r="L34" s="9" t="n">
        <f aca="false">ROUND((J34-I34)/30.44,1)</f>
        <v>12</v>
      </c>
      <c r="M34" s="10" t="n">
        <v>64800</v>
      </c>
      <c r="N34" s="10" t="n">
        <f aca="false">IF(L34=0,"",M34/L34)</f>
        <v>5400</v>
      </c>
      <c r="O34" s="11" t="n">
        <f aca="false">IF(E34=0,"",N34*12/E34)</f>
        <v>2.64770777151263</v>
      </c>
      <c r="P34" s="5" t="s">
        <v>57</v>
      </c>
      <c r="Q34" s="5" t="s">
        <v>189</v>
      </c>
      <c r="R34" s="5" t="s">
        <v>190</v>
      </c>
    </row>
    <row r="35" customFormat="false" ht="15" hidden="false" customHeight="false" outlineLevel="0" collapsed="false">
      <c r="A35" s="12" t="s">
        <v>180</v>
      </c>
      <c r="B35" s="12" t="s">
        <v>52</v>
      </c>
      <c r="C35" s="12" t="s">
        <v>176</v>
      </c>
      <c r="D35" s="13" t="s">
        <v>177</v>
      </c>
      <c r="E35" s="14" t="n">
        <v>47596</v>
      </c>
      <c r="F35" s="13" t="s">
        <v>157</v>
      </c>
      <c r="G35" s="13" t="n">
        <v>2026</v>
      </c>
      <c r="H35" s="12" t="s">
        <v>56</v>
      </c>
      <c r="I35" s="15" t="n">
        <v>46169</v>
      </c>
      <c r="J35" s="15" t="n">
        <v>46534</v>
      </c>
      <c r="K35" s="13" t="str">
        <f aca="true">IF(J35&gt;=TODAY(),"Vigente","Encerrado")</f>
        <v>Vigente</v>
      </c>
      <c r="L35" s="16" t="n">
        <f aca="false">ROUND((J35-I35)/30.44,1)</f>
        <v>12</v>
      </c>
      <c r="M35" s="17" t="n">
        <v>64800</v>
      </c>
      <c r="N35" s="17" t="n">
        <f aca="false">IF(L35=0,"",M35/L35)</f>
        <v>5400</v>
      </c>
      <c r="O35" s="18" t="n">
        <f aca="false">IF(E35=0,"",N35*12/E35)</f>
        <v>1.36145894612993</v>
      </c>
      <c r="P35" s="12" t="s">
        <v>57</v>
      </c>
      <c r="Q35" s="12" t="s">
        <v>191</v>
      </c>
      <c r="R35" s="12" t="s">
        <v>192</v>
      </c>
    </row>
    <row r="36" customFormat="false" ht="15" hidden="false" customHeight="false" outlineLevel="0" collapsed="false">
      <c r="A36" s="5" t="s">
        <v>193</v>
      </c>
      <c r="B36" s="5" t="s">
        <v>52</v>
      </c>
      <c r="C36" s="5" t="s">
        <v>194</v>
      </c>
      <c r="D36" s="6" t="s">
        <v>195</v>
      </c>
      <c r="E36" s="7" t="n">
        <v>20132</v>
      </c>
      <c r="F36" s="6" t="s">
        <v>157</v>
      </c>
      <c r="G36" s="6" t="n">
        <v>2026</v>
      </c>
      <c r="H36" s="5" t="s">
        <v>62</v>
      </c>
      <c r="I36" s="8" t="n">
        <v>46184</v>
      </c>
      <c r="J36" s="8" t="n">
        <v>46549</v>
      </c>
      <c r="K36" s="6" t="str">
        <f aca="true">IF(J36&gt;=TODAY(),"Vigente","Encerrado")</f>
        <v>Vigente</v>
      </c>
      <c r="L36" s="9" t="n">
        <f aca="false">ROUND((J36-I36)/30.44,1)</f>
        <v>12</v>
      </c>
      <c r="M36" s="10" t="n">
        <v>64800</v>
      </c>
      <c r="N36" s="10" t="n">
        <f aca="false">IF(L36=0,"",M36/L36)</f>
        <v>5400</v>
      </c>
      <c r="O36" s="11" t="n">
        <f aca="false">IF(E36=0,"",N36*12/E36)</f>
        <v>3.21875620902047</v>
      </c>
      <c r="P36" s="5" t="s">
        <v>57</v>
      </c>
      <c r="Q36" s="5" t="s">
        <v>196</v>
      </c>
      <c r="R36" s="5" t="s">
        <v>197</v>
      </c>
    </row>
    <row r="37" customFormat="false" ht="15" hidden="false" customHeight="false" outlineLevel="0" collapsed="false">
      <c r="A37" s="12" t="s">
        <v>198</v>
      </c>
      <c r="B37" s="12" t="s">
        <v>52</v>
      </c>
      <c r="C37" s="12" t="s">
        <v>199</v>
      </c>
      <c r="D37" s="13" t="s">
        <v>76</v>
      </c>
      <c r="E37" s="14" t="n">
        <v>21575</v>
      </c>
      <c r="F37" s="13" t="s">
        <v>157</v>
      </c>
      <c r="G37" s="13" t="n">
        <v>2025</v>
      </c>
      <c r="H37" s="12" t="s">
        <v>56</v>
      </c>
      <c r="I37" s="15" t="n">
        <v>45659</v>
      </c>
      <c r="J37" s="15" t="n">
        <v>46024</v>
      </c>
      <c r="K37" s="13" t="str">
        <f aca="true">IF(J37&gt;=TODAY(),"Vigente","Encerrado")</f>
        <v>Encerrado</v>
      </c>
      <c r="L37" s="16" t="n">
        <f aca="false">ROUND((J37-I37)/30.44,1)</f>
        <v>12</v>
      </c>
      <c r="M37" s="17" t="n">
        <v>72921.24</v>
      </c>
      <c r="N37" s="17" t="n">
        <f aca="false">IF(L37=0,"",M37/L37)</f>
        <v>6076.77</v>
      </c>
      <c r="O37" s="18" t="n">
        <f aca="false">IF(E37=0,"",N37*12/E37)</f>
        <v>3.37989524913094</v>
      </c>
      <c r="P37" s="12" t="s">
        <v>57</v>
      </c>
      <c r="Q37" s="12" t="s">
        <v>200</v>
      </c>
      <c r="R37" s="12" t="s">
        <v>201</v>
      </c>
    </row>
    <row r="38" customFormat="false" ht="15" hidden="false" customHeight="false" outlineLevel="0" collapsed="false">
      <c r="A38" s="5" t="s">
        <v>202</v>
      </c>
      <c r="B38" s="5" t="s">
        <v>52</v>
      </c>
      <c r="C38" s="5" t="s">
        <v>203</v>
      </c>
      <c r="D38" s="6" t="s">
        <v>204</v>
      </c>
      <c r="E38" s="7" t="n">
        <v>36499</v>
      </c>
      <c r="F38" s="6" t="s">
        <v>157</v>
      </c>
      <c r="G38" s="6" t="n">
        <v>2026</v>
      </c>
      <c r="H38" s="5" t="s">
        <v>62</v>
      </c>
      <c r="I38" s="8" t="n">
        <v>46141</v>
      </c>
      <c r="J38" s="8" t="n">
        <v>46872</v>
      </c>
      <c r="K38" s="6" t="str">
        <f aca="true">IF(J38&gt;=TODAY(),"Vigente","Encerrado")</f>
        <v>Vigente</v>
      </c>
      <c r="L38" s="9" t="n">
        <f aca="false">ROUND((J38-I38)/30.44,1)</f>
        <v>24</v>
      </c>
      <c r="M38" s="10" t="n">
        <v>180000</v>
      </c>
      <c r="N38" s="10" t="n">
        <f aca="false">IF(L38=0,"",M38/L38)</f>
        <v>7500</v>
      </c>
      <c r="O38" s="11" t="n">
        <f aca="false">IF(E38=0,"",N38*12/E38)</f>
        <v>2.46582098139675</v>
      </c>
      <c r="P38" s="5" t="s">
        <v>57</v>
      </c>
      <c r="Q38" s="5" t="s">
        <v>205</v>
      </c>
      <c r="R38" s="5" t="s">
        <v>206</v>
      </c>
    </row>
    <row r="39" customFormat="false" ht="15" hidden="false" customHeight="false" outlineLevel="0" collapsed="false">
      <c r="A39" s="12" t="s">
        <v>207</v>
      </c>
      <c r="B39" s="12" t="s">
        <v>52</v>
      </c>
      <c r="C39" s="12" t="s">
        <v>208</v>
      </c>
      <c r="D39" s="13" t="s">
        <v>209</v>
      </c>
      <c r="E39" s="14" t="n">
        <v>36496</v>
      </c>
      <c r="F39" s="13" t="s">
        <v>157</v>
      </c>
      <c r="G39" s="13" t="n">
        <v>2024</v>
      </c>
      <c r="H39" s="12" t="s">
        <v>56</v>
      </c>
      <c r="I39" s="15" t="n">
        <v>45567</v>
      </c>
      <c r="J39" s="15" t="n">
        <v>45932</v>
      </c>
      <c r="K39" s="13" t="str">
        <f aca="true">IF(J39&gt;=TODAY(),"Vigente","Encerrado")</f>
        <v>Encerrado</v>
      </c>
      <c r="L39" s="16" t="n">
        <f aca="false">ROUND((J39-I39)/30.44,1)</f>
        <v>12</v>
      </c>
      <c r="M39" s="17" t="n">
        <v>96000</v>
      </c>
      <c r="N39" s="17" t="n">
        <f aca="false">IF(L39=0,"",M39/L39)</f>
        <v>8000</v>
      </c>
      <c r="O39" s="18" t="n">
        <f aca="false">IF(E39=0,"",N39*12/E39)</f>
        <v>2.63042525208242</v>
      </c>
      <c r="P39" s="12" t="s">
        <v>57</v>
      </c>
      <c r="Q39" s="12" t="s">
        <v>210</v>
      </c>
      <c r="R39" s="12" t="s">
        <v>211</v>
      </c>
    </row>
    <row r="40" customFormat="false" ht="15" hidden="false" customHeight="false" outlineLevel="0" collapsed="false">
      <c r="A40" s="5" t="s">
        <v>212</v>
      </c>
      <c r="B40" s="5" t="s">
        <v>52</v>
      </c>
      <c r="C40" s="5" t="s">
        <v>213</v>
      </c>
      <c r="D40" s="6" t="s">
        <v>81</v>
      </c>
      <c r="E40" s="7" t="n">
        <v>25299</v>
      </c>
      <c r="F40" s="6" t="s">
        <v>157</v>
      </c>
      <c r="G40" s="6" t="n">
        <v>2025</v>
      </c>
      <c r="H40" s="5" t="s">
        <v>62</v>
      </c>
      <c r="I40" s="8" t="n">
        <v>45824</v>
      </c>
      <c r="J40" s="8" t="n">
        <v>46189</v>
      </c>
      <c r="K40" s="6" t="str">
        <f aca="true">IF(J40&gt;=TODAY(),"Vigente","Encerrado")</f>
        <v>Encerrado</v>
      </c>
      <c r="L40" s="9" t="n">
        <f aca="false">ROUND((J40-I40)/30.44,1)</f>
        <v>12</v>
      </c>
      <c r="M40" s="10" t="n">
        <v>96600</v>
      </c>
      <c r="N40" s="10" t="n">
        <f aca="false">IF(L40=0,"",M40/L40)</f>
        <v>8050</v>
      </c>
      <c r="O40" s="11" t="n">
        <f aca="false">IF(E40=0,"",N40*12/E40)</f>
        <v>3.81833274042452</v>
      </c>
      <c r="P40" s="5" t="s">
        <v>57</v>
      </c>
      <c r="Q40" s="5" t="s">
        <v>214</v>
      </c>
      <c r="R40" s="5" t="s">
        <v>215</v>
      </c>
    </row>
    <row r="41" customFormat="false" ht="15" hidden="false" customHeight="false" outlineLevel="0" collapsed="false">
      <c r="A41" s="12" t="s">
        <v>216</v>
      </c>
      <c r="B41" s="12" t="s">
        <v>52</v>
      </c>
      <c r="C41" s="12" t="s">
        <v>217</v>
      </c>
      <c r="D41" s="13" t="s">
        <v>81</v>
      </c>
      <c r="E41" s="14" t="n">
        <v>24512</v>
      </c>
      <c r="F41" s="13" t="s">
        <v>157</v>
      </c>
      <c r="G41" s="13" t="n">
        <v>2025</v>
      </c>
      <c r="H41" s="12" t="s">
        <v>62</v>
      </c>
      <c r="I41" s="15" t="n">
        <v>45888</v>
      </c>
      <c r="J41" s="15" t="n">
        <v>46253</v>
      </c>
      <c r="K41" s="13" t="str">
        <f aca="true">IF(J41&gt;=TODAY(),"Vigente","Encerrado")</f>
        <v>Encerrado</v>
      </c>
      <c r="L41" s="16" t="n">
        <f aca="false">ROUND((J41-I41)/30.44,1)</f>
        <v>12</v>
      </c>
      <c r="M41" s="17" t="n">
        <v>101520</v>
      </c>
      <c r="N41" s="17" t="n">
        <f aca="false">IF(L41=0,"",M41/L41)</f>
        <v>8460</v>
      </c>
      <c r="O41" s="18" t="n">
        <f aca="false">IF(E41=0,"",N41*12/E41)</f>
        <v>4.14164490861619</v>
      </c>
      <c r="P41" s="12" t="s">
        <v>57</v>
      </c>
      <c r="Q41" s="12" t="s">
        <v>218</v>
      </c>
      <c r="R41" s="12" t="s">
        <v>219</v>
      </c>
    </row>
    <row r="42" customFormat="false" ht="15" hidden="false" customHeight="false" outlineLevel="0" collapsed="false">
      <c r="A42" s="5" t="s">
        <v>220</v>
      </c>
      <c r="B42" s="5" t="s">
        <v>52</v>
      </c>
      <c r="C42" s="5" t="s">
        <v>221</v>
      </c>
      <c r="D42" s="6" t="s">
        <v>54</v>
      </c>
      <c r="E42" s="7" t="n">
        <v>35534</v>
      </c>
      <c r="F42" s="6" t="s">
        <v>157</v>
      </c>
      <c r="G42" s="6" t="n">
        <v>2024</v>
      </c>
      <c r="H42" s="5" t="s">
        <v>56</v>
      </c>
      <c r="I42" s="8" t="n">
        <v>45520</v>
      </c>
      <c r="J42" s="8" t="n">
        <v>45886</v>
      </c>
      <c r="K42" s="6" t="str">
        <f aca="true">IF(J42&gt;=TODAY(),"Vigente","Encerrado")</f>
        <v>Encerrado</v>
      </c>
      <c r="L42" s="9" t="n">
        <f aca="false">ROUND((J42-I42)/30.44,1)</f>
        <v>12</v>
      </c>
      <c r="M42" s="10" t="n">
        <v>104140.8</v>
      </c>
      <c r="N42" s="10" t="n">
        <f aca="false">IF(L42=0,"",M42/L42)</f>
        <v>8678.4</v>
      </c>
      <c r="O42" s="11" t="n">
        <f aca="false">IF(E42=0,"",N42*12/E42)</f>
        <v>2.93073675916024</v>
      </c>
      <c r="P42" s="5" t="s">
        <v>57</v>
      </c>
      <c r="Q42" s="5" t="s">
        <v>222</v>
      </c>
      <c r="R42" s="5" t="s">
        <v>223</v>
      </c>
    </row>
    <row r="43" customFormat="false" ht="15" hidden="false" customHeight="false" outlineLevel="0" collapsed="false">
      <c r="A43" s="12" t="s">
        <v>224</v>
      </c>
      <c r="B43" s="12" t="s">
        <v>52</v>
      </c>
      <c r="C43" s="12" t="s">
        <v>225</v>
      </c>
      <c r="D43" s="13" t="s">
        <v>127</v>
      </c>
      <c r="E43" s="14" t="n">
        <v>43636</v>
      </c>
      <c r="F43" s="13" t="s">
        <v>157</v>
      </c>
      <c r="G43" s="13" t="n">
        <v>2026</v>
      </c>
      <c r="H43" s="12" t="s">
        <v>62</v>
      </c>
      <c r="I43" s="15" t="n">
        <v>46112</v>
      </c>
      <c r="J43" s="15" t="n">
        <v>46476</v>
      </c>
      <c r="K43" s="13" t="str">
        <f aca="true">IF(J43&gt;=TODAY(),"Vigente","Encerrado")</f>
        <v>Vigente</v>
      </c>
      <c r="L43" s="16" t="n">
        <f aca="false">ROUND((J43-I43)/30.44,1)</f>
        <v>12</v>
      </c>
      <c r="M43" s="17" t="n">
        <v>108000</v>
      </c>
      <c r="N43" s="17" t="n">
        <f aca="false">IF(L43=0,"",M43/L43)</f>
        <v>9000</v>
      </c>
      <c r="O43" s="18" t="n">
        <f aca="false">IF(E43=0,"",N43*12/E43)</f>
        <v>2.47502062517188</v>
      </c>
      <c r="P43" s="12" t="s">
        <v>57</v>
      </c>
      <c r="Q43" s="12" t="s">
        <v>226</v>
      </c>
      <c r="R43" s="12" t="s">
        <v>227</v>
      </c>
    </row>
    <row r="44" customFormat="false" ht="15" hidden="false" customHeight="false" outlineLevel="0" collapsed="false">
      <c r="A44" s="5" t="s">
        <v>228</v>
      </c>
      <c r="B44" s="5" t="s">
        <v>52</v>
      </c>
      <c r="C44" s="5" t="s">
        <v>229</v>
      </c>
      <c r="D44" s="6" t="s">
        <v>184</v>
      </c>
      <c r="E44" s="7" t="n">
        <v>30862</v>
      </c>
      <c r="F44" s="6" t="s">
        <v>157</v>
      </c>
      <c r="G44" s="6" t="n">
        <v>2025</v>
      </c>
      <c r="H44" s="5" t="s">
        <v>62</v>
      </c>
      <c r="I44" s="8" t="n">
        <v>45821</v>
      </c>
      <c r="J44" s="8" t="n">
        <v>46186</v>
      </c>
      <c r="K44" s="6" t="str">
        <f aca="true">IF(J44&gt;=TODAY(),"Vigente","Encerrado")</f>
        <v>Encerrado</v>
      </c>
      <c r="L44" s="9" t="n">
        <f aca="false">ROUND((J44-I44)/30.44,1)</f>
        <v>12</v>
      </c>
      <c r="M44" s="10" t="n">
        <v>108000</v>
      </c>
      <c r="N44" s="10" t="n">
        <f aca="false">IF(L44=0,"",M44/L44)</f>
        <v>9000</v>
      </c>
      <c r="O44" s="11" t="n">
        <f aca="false">IF(E44=0,"",N44*12/E44)</f>
        <v>3.49944916078025</v>
      </c>
      <c r="P44" s="5" t="s">
        <v>57</v>
      </c>
      <c r="Q44" s="5" t="s">
        <v>230</v>
      </c>
      <c r="R44" s="5" t="s">
        <v>231</v>
      </c>
    </row>
    <row r="45" customFormat="false" ht="15" hidden="false" customHeight="false" outlineLevel="0" collapsed="false">
      <c r="A45" s="12" t="s">
        <v>232</v>
      </c>
      <c r="B45" s="12" t="s">
        <v>52</v>
      </c>
      <c r="C45" s="12" t="s">
        <v>233</v>
      </c>
      <c r="D45" s="13" t="s">
        <v>164</v>
      </c>
      <c r="E45" s="14" t="n">
        <v>21965</v>
      </c>
      <c r="F45" s="13" t="s">
        <v>157</v>
      </c>
      <c r="G45" s="13" t="n">
        <v>2025</v>
      </c>
      <c r="H45" s="12" t="s">
        <v>234</v>
      </c>
      <c r="I45" s="15" t="n">
        <v>45888</v>
      </c>
      <c r="J45" s="15" t="n">
        <v>46253</v>
      </c>
      <c r="K45" s="13" t="str">
        <f aca="true">IF(J45&gt;=TODAY(),"Vigente","Encerrado")</f>
        <v>Encerrado</v>
      </c>
      <c r="L45" s="16" t="n">
        <f aca="false">ROUND((J45-I45)/30.44,1)</f>
        <v>12</v>
      </c>
      <c r="M45" s="17" t="n">
        <v>108000</v>
      </c>
      <c r="N45" s="17" t="n">
        <f aca="false">IF(L45=0,"",M45/L45)</f>
        <v>9000</v>
      </c>
      <c r="O45" s="18" t="n">
        <f aca="false">IF(E45=0,"",N45*12/E45)</f>
        <v>4.91691327111314</v>
      </c>
      <c r="P45" s="12" t="s">
        <v>57</v>
      </c>
      <c r="Q45" s="12" t="s">
        <v>235</v>
      </c>
      <c r="R45" s="12" t="s">
        <v>236</v>
      </c>
    </row>
    <row r="46" customFormat="false" ht="15" hidden="false" customHeight="false" outlineLevel="0" collapsed="false">
      <c r="A46" s="5" t="s">
        <v>237</v>
      </c>
      <c r="B46" s="5" t="s">
        <v>52</v>
      </c>
      <c r="C46" s="5" t="s">
        <v>238</v>
      </c>
      <c r="D46" s="6" t="s">
        <v>67</v>
      </c>
      <c r="E46" s="7" t="n">
        <v>44098</v>
      </c>
      <c r="F46" s="6" t="s">
        <v>157</v>
      </c>
      <c r="G46" s="6" t="n">
        <v>2024</v>
      </c>
      <c r="H46" s="5" t="s">
        <v>128</v>
      </c>
      <c r="I46" s="8" t="n">
        <v>45644</v>
      </c>
      <c r="J46" s="8" t="n">
        <v>46009</v>
      </c>
      <c r="K46" s="6" t="str">
        <f aca="true">IF(J46&gt;=TODAY(),"Vigente","Encerrado")</f>
        <v>Encerrado</v>
      </c>
      <c r="L46" s="9" t="n">
        <f aca="false">ROUND((J46-I46)/30.44,1)</f>
        <v>12</v>
      </c>
      <c r="M46" s="10" t="n">
        <v>118800</v>
      </c>
      <c r="N46" s="10" t="n">
        <f aca="false">IF(L46=0,"",M46/L46)</f>
        <v>9900</v>
      </c>
      <c r="O46" s="11" t="n">
        <f aca="false">IF(E46=0,"",N46*12/E46)</f>
        <v>2.69399972787882</v>
      </c>
      <c r="P46" s="5" t="s">
        <v>57</v>
      </c>
      <c r="Q46" s="5" t="s">
        <v>239</v>
      </c>
      <c r="R46" s="5" t="s">
        <v>240</v>
      </c>
    </row>
    <row r="47" customFormat="false" ht="15" hidden="false" customHeight="false" outlineLevel="0" collapsed="false">
      <c r="A47" s="12" t="s">
        <v>241</v>
      </c>
      <c r="B47" s="12" t="s">
        <v>52</v>
      </c>
      <c r="C47" s="12" t="s">
        <v>242</v>
      </c>
      <c r="D47" s="13" t="s">
        <v>127</v>
      </c>
      <c r="E47" s="14" t="n">
        <v>29093</v>
      </c>
      <c r="F47" s="13" t="s">
        <v>157</v>
      </c>
      <c r="G47" s="13" t="n">
        <v>2026</v>
      </c>
      <c r="H47" s="12" t="s">
        <v>128</v>
      </c>
      <c r="I47" s="15" t="n">
        <v>46154</v>
      </c>
      <c r="J47" s="15" t="n">
        <v>46519</v>
      </c>
      <c r="K47" s="13" t="str">
        <f aca="true">IF(J47&gt;=TODAY(),"Vigente","Encerrado")</f>
        <v>Vigente</v>
      </c>
      <c r="L47" s="16" t="n">
        <f aca="false">ROUND((J47-I47)/30.44,1)</f>
        <v>12</v>
      </c>
      <c r="M47" s="17" t="n">
        <v>120420</v>
      </c>
      <c r="N47" s="17" t="n">
        <f aca="false">IF(L47=0,"",M47/L47)</f>
        <v>10035</v>
      </c>
      <c r="O47" s="18" t="n">
        <f aca="false">IF(E47=0,"",N47*12/E47)</f>
        <v>4.13913999931255</v>
      </c>
      <c r="P47" s="12" t="s">
        <v>57</v>
      </c>
      <c r="Q47" s="12" t="s">
        <v>243</v>
      </c>
      <c r="R47" s="12" t="s">
        <v>244</v>
      </c>
    </row>
    <row r="48" customFormat="false" ht="15" hidden="false" customHeight="false" outlineLevel="0" collapsed="false">
      <c r="A48" s="5" t="s">
        <v>245</v>
      </c>
      <c r="B48" s="5" t="s">
        <v>52</v>
      </c>
      <c r="C48" s="5" t="s">
        <v>246</v>
      </c>
      <c r="D48" s="6" t="s">
        <v>164</v>
      </c>
      <c r="E48" s="7" t="n">
        <v>29446</v>
      </c>
      <c r="F48" s="6" t="s">
        <v>157</v>
      </c>
      <c r="G48" s="6" t="n">
        <v>2025</v>
      </c>
      <c r="H48" s="5" t="s">
        <v>62</v>
      </c>
      <c r="I48" s="8" t="n">
        <v>45841</v>
      </c>
      <c r="J48" s="8" t="n">
        <v>46206</v>
      </c>
      <c r="K48" s="6" t="str">
        <f aca="true">IF(J48&gt;=TODAY(),"Vigente","Encerrado")</f>
        <v>Encerrado</v>
      </c>
      <c r="L48" s="9" t="n">
        <f aca="false">ROUND((J48-I48)/30.44,1)</f>
        <v>12</v>
      </c>
      <c r="M48" s="10" t="n">
        <v>124200</v>
      </c>
      <c r="N48" s="10" t="n">
        <f aca="false">IF(L48=0,"",M48/L48)</f>
        <v>10350</v>
      </c>
      <c r="O48" s="11" t="n">
        <f aca="false">IF(E48=0,"",N48*12/E48)</f>
        <v>4.2178903756028</v>
      </c>
      <c r="P48" s="5" t="s">
        <v>57</v>
      </c>
      <c r="Q48" s="5" t="s">
        <v>247</v>
      </c>
      <c r="R48" s="5" t="s">
        <v>248</v>
      </c>
    </row>
    <row r="49" customFormat="false" ht="15" hidden="false" customHeight="false" outlineLevel="0" collapsed="false">
      <c r="A49" s="12" t="s">
        <v>249</v>
      </c>
      <c r="B49" s="12" t="s">
        <v>52</v>
      </c>
      <c r="C49" s="12" t="s">
        <v>250</v>
      </c>
      <c r="D49" s="13" t="s">
        <v>54</v>
      </c>
      <c r="E49" s="14" t="n">
        <v>46969</v>
      </c>
      <c r="F49" s="13" t="s">
        <v>157</v>
      </c>
      <c r="G49" s="13" t="n">
        <v>2026</v>
      </c>
      <c r="H49" s="12" t="s">
        <v>56</v>
      </c>
      <c r="I49" s="15" t="n">
        <v>46240</v>
      </c>
      <c r="J49" s="15" t="n">
        <v>46423</v>
      </c>
      <c r="K49" s="13" t="str">
        <f aca="true">IF(J49&gt;=TODAY(),"Vigente","Encerrado")</f>
        <v>Vigente</v>
      </c>
      <c r="L49" s="16" t="n">
        <f aca="false">ROUND((J49-I49)/30.44,1)</f>
        <v>6</v>
      </c>
      <c r="M49" s="17" t="n">
        <v>66829.62</v>
      </c>
      <c r="N49" s="17" t="n">
        <f aca="false">IF(L49=0,"",M49/L49)</f>
        <v>11138.27</v>
      </c>
      <c r="O49" s="18" t="n">
        <f aca="false">IF(E49=0,"",N49*12/E49)</f>
        <v>2.84569056185995</v>
      </c>
      <c r="P49" s="12" t="s">
        <v>57</v>
      </c>
      <c r="Q49" s="12" t="s">
        <v>251</v>
      </c>
      <c r="R49" s="12" t="s">
        <v>252</v>
      </c>
    </row>
    <row r="50" customFormat="false" ht="15" hidden="false" customHeight="false" outlineLevel="0" collapsed="false">
      <c r="A50" s="5" t="s">
        <v>253</v>
      </c>
      <c r="B50" s="5" t="s">
        <v>52</v>
      </c>
      <c r="C50" s="5" t="s">
        <v>254</v>
      </c>
      <c r="D50" s="6" t="s">
        <v>54</v>
      </c>
      <c r="E50" s="7" t="n">
        <v>34733</v>
      </c>
      <c r="F50" s="6" t="s">
        <v>157</v>
      </c>
      <c r="G50" s="6" t="n">
        <v>2025</v>
      </c>
      <c r="H50" s="5" t="s">
        <v>128</v>
      </c>
      <c r="I50" s="8" t="n">
        <v>45839</v>
      </c>
      <c r="J50" s="8" t="n">
        <v>46204</v>
      </c>
      <c r="K50" s="6" t="str">
        <f aca="true">IF(J50&gt;=TODAY(),"Vigente","Encerrado")</f>
        <v>Encerrado</v>
      </c>
      <c r="L50" s="9" t="n">
        <f aca="false">ROUND((J50-I50)/30.44,1)</f>
        <v>12</v>
      </c>
      <c r="M50" s="10" t="n">
        <v>148500</v>
      </c>
      <c r="N50" s="10" t="n">
        <f aca="false">IF(L50=0,"",M50/L50)</f>
        <v>12375</v>
      </c>
      <c r="O50" s="11" t="n">
        <f aca="false">IF(E50=0,"",N50*12/E50)</f>
        <v>4.27547289321395</v>
      </c>
      <c r="P50" s="5" t="s">
        <v>57</v>
      </c>
      <c r="Q50" s="5" t="s">
        <v>255</v>
      </c>
      <c r="R50" s="5" t="s">
        <v>256</v>
      </c>
    </row>
    <row r="51" customFormat="false" ht="15" hidden="false" customHeight="false" outlineLevel="0" collapsed="false">
      <c r="A51" s="12" t="s">
        <v>257</v>
      </c>
      <c r="B51" s="12" t="s">
        <v>52</v>
      </c>
      <c r="C51" s="12" t="s">
        <v>258</v>
      </c>
      <c r="D51" s="13" t="s">
        <v>127</v>
      </c>
      <c r="E51" s="14" t="n">
        <v>57647</v>
      </c>
      <c r="F51" s="13" t="s">
        <v>157</v>
      </c>
      <c r="G51" s="13" t="n">
        <v>2026</v>
      </c>
      <c r="H51" s="12" t="s">
        <v>62</v>
      </c>
      <c r="I51" s="15" t="n">
        <v>46076</v>
      </c>
      <c r="J51" s="15" t="n">
        <v>46441</v>
      </c>
      <c r="K51" s="13" t="str">
        <f aca="true">IF(J51&gt;=TODAY(),"Vigente","Encerrado")</f>
        <v>Vigente</v>
      </c>
      <c r="L51" s="16" t="n">
        <f aca="false">ROUND((J51-I51)/30.44,1)</f>
        <v>12</v>
      </c>
      <c r="M51" s="17" t="n">
        <v>162000</v>
      </c>
      <c r="N51" s="17" t="n">
        <f aca="false">IF(L51=0,"",M51/L51)</f>
        <v>13500</v>
      </c>
      <c r="O51" s="18" t="n">
        <f aca="false">IF(E51=0,"",N51*12/E51)</f>
        <v>2.81020694919076</v>
      </c>
      <c r="P51" s="12" t="s">
        <v>57</v>
      </c>
      <c r="Q51" s="12" t="s">
        <v>259</v>
      </c>
      <c r="R51" s="12" t="s">
        <v>260</v>
      </c>
    </row>
    <row r="52" customFormat="false" ht="15" hidden="false" customHeight="false" outlineLevel="0" collapsed="false">
      <c r="A52" s="5" t="s">
        <v>261</v>
      </c>
      <c r="B52" s="5" t="s">
        <v>52</v>
      </c>
      <c r="C52" s="5" t="s">
        <v>262</v>
      </c>
      <c r="D52" s="6" t="s">
        <v>81</v>
      </c>
      <c r="E52" s="7" t="n">
        <v>40464</v>
      </c>
      <c r="F52" s="6" t="s">
        <v>157</v>
      </c>
      <c r="G52" s="6" t="n">
        <v>2024</v>
      </c>
      <c r="H52" s="5" t="s">
        <v>62</v>
      </c>
      <c r="I52" s="8" t="n">
        <v>45597</v>
      </c>
      <c r="J52" s="8" t="n">
        <v>47423</v>
      </c>
      <c r="K52" s="6" t="str">
        <f aca="true">IF(J52&gt;=TODAY(),"Vigente","Encerrado")</f>
        <v>Vigente</v>
      </c>
      <c r="L52" s="9" t="n">
        <f aca="false">ROUND((J52-I52)/30.44,1)</f>
        <v>60</v>
      </c>
      <c r="M52" s="10" t="n">
        <v>912314.4</v>
      </c>
      <c r="N52" s="10" t="n">
        <f aca="false">IF(L52=0,"",M52/L52)</f>
        <v>15205.24</v>
      </c>
      <c r="O52" s="11" t="n">
        <f aca="false">IF(E52=0,"",N52*12/E52)</f>
        <v>4.50926453143535</v>
      </c>
      <c r="P52" s="5" t="s">
        <v>57</v>
      </c>
      <c r="Q52" s="5" t="s">
        <v>263</v>
      </c>
      <c r="R52" s="5" t="s">
        <v>264</v>
      </c>
    </row>
    <row r="53" customFormat="false" ht="15" hidden="false" customHeight="false" outlineLevel="0" collapsed="false">
      <c r="A53" s="12" t="s">
        <v>265</v>
      </c>
      <c r="B53" s="12" t="s">
        <v>52</v>
      </c>
      <c r="C53" s="12" t="s">
        <v>266</v>
      </c>
      <c r="D53" s="13" t="s">
        <v>67</v>
      </c>
      <c r="E53" s="14" t="n">
        <v>27142</v>
      </c>
      <c r="F53" s="13" t="s">
        <v>157</v>
      </c>
      <c r="G53" s="13" t="n">
        <v>2026</v>
      </c>
      <c r="H53" s="12" t="s">
        <v>62</v>
      </c>
      <c r="I53" s="15" t="n">
        <v>46122</v>
      </c>
      <c r="J53" s="15" t="n">
        <v>46487</v>
      </c>
      <c r="K53" s="13" t="str">
        <f aca="true">IF(J53&gt;=TODAY(),"Vigente","Encerrado")</f>
        <v>Vigente</v>
      </c>
      <c r="L53" s="16" t="n">
        <f aca="false">ROUND((J53-I53)/30.44,1)</f>
        <v>12</v>
      </c>
      <c r="M53" s="17" t="n">
        <v>189999.92</v>
      </c>
      <c r="N53" s="17" t="n">
        <f aca="false">IF(L53=0,"",M53/L53)</f>
        <v>15833.3266666667</v>
      </c>
      <c r="O53" s="18" t="n">
        <f aca="false">IF(E53=0,"",N53*12/E53)</f>
        <v>7.00021811215091</v>
      </c>
      <c r="P53" s="12" t="s">
        <v>57</v>
      </c>
      <c r="Q53" s="12" t="s">
        <v>263</v>
      </c>
      <c r="R53" s="12" t="s">
        <v>267</v>
      </c>
    </row>
    <row r="54" customFormat="false" ht="15" hidden="false" customHeight="false" outlineLevel="0" collapsed="false">
      <c r="A54" s="5" t="s">
        <v>268</v>
      </c>
      <c r="B54" s="5" t="s">
        <v>52</v>
      </c>
      <c r="C54" s="5" t="s">
        <v>269</v>
      </c>
      <c r="D54" s="6" t="s">
        <v>184</v>
      </c>
      <c r="E54" s="7" t="n">
        <v>44839</v>
      </c>
      <c r="F54" s="6" t="s">
        <v>157</v>
      </c>
      <c r="G54" s="6" t="n">
        <v>2025</v>
      </c>
      <c r="H54" s="5" t="s">
        <v>62</v>
      </c>
      <c r="I54" s="8" t="n">
        <v>45939</v>
      </c>
      <c r="J54" s="8" t="n">
        <v>46668</v>
      </c>
      <c r="K54" s="6" t="str">
        <f aca="true">IF(J54&gt;=TODAY(),"Vigente","Encerrado")</f>
        <v>Vigente</v>
      </c>
      <c r="L54" s="9" t="n">
        <f aca="false">ROUND((J54-I54)/30.44,1)</f>
        <v>23.9</v>
      </c>
      <c r="M54" s="10" t="n">
        <v>397095.52</v>
      </c>
      <c r="N54" s="10" t="n">
        <f aca="false">IF(L54=0,"",M54/L54)</f>
        <v>16614.8753138075</v>
      </c>
      <c r="O54" s="11" t="n">
        <f aca="false">IF(E54=0,"",N54*12/E54)</f>
        <v>4.44654215673165</v>
      </c>
      <c r="P54" s="5" t="s">
        <v>57</v>
      </c>
      <c r="Q54" s="5" t="s">
        <v>270</v>
      </c>
      <c r="R54" s="5" t="s">
        <v>271</v>
      </c>
    </row>
    <row r="55" customFormat="false" ht="15" hidden="false" customHeight="false" outlineLevel="0" collapsed="false">
      <c r="A55" s="12" t="s">
        <v>272</v>
      </c>
      <c r="B55" s="12" t="s">
        <v>52</v>
      </c>
      <c r="C55" s="12" t="s">
        <v>273</v>
      </c>
      <c r="D55" s="13" t="s">
        <v>81</v>
      </c>
      <c r="E55" s="14" t="n">
        <v>61732</v>
      </c>
      <c r="F55" s="13" t="s">
        <v>157</v>
      </c>
      <c r="G55" s="13" t="n">
        <v>2024</v>
      </c>
      <c r="H55" s="12" t="s">
        <v>56</v>
      </c>
      <c r="I55" s="15" t="n">
        <v>45495</v>
      </c>
      <c r="J55" s="15" t="n">
        <v>45860</v>
      </c>
      <c r="K55" s="13" t="str">
        <f aca="true">IF(J55&gt;=TODAY(),"Vigente","Encerrado")</f>
        <v>Encerrado</v>
      </c>
      <c r="L55" s="16" t="n">
        <f aca="false">ROUND((J55-I55)/30.44,1)</f>
        <v>12</v>
      </c>
      <c r="M55" s="17" t="n">
        <v>210000</v>
      </c>
      <c r="N55" s="17" t="n">
        <f aca="false">IF(L55=0,"",M55/L55)</f>
        <v>17500</v>
      </c>
      <c r="O55" s="18" t="n">
        <f aca="false">IF(E55=0,"",N55*12/E55)</f>
        <v>3.40180133480205</v>
      </c>
      <c r="P55" s="12" t="s">
        <v>57</v>
      </c>
      <c r="Q55" s="12" t="s">
        <v>274</v>
      </c>
      <c r="R55" s="12" t="s">
        <v>275</v>
      </c>
    </row>
    <row r="56" customFormat="false" ht="15" hidden="false" customHeight="false" outlineLevel="0" collapsed="false">
      <c r="A56" s="5" t="s">
        <v>276</v>
      </c>
      <c r="B56" s="5" t="s">
        <v>52</v>
      </c>
      <c r="C56" s="5" t="s">
        <v>277</v>
      </c>
      <c r="D56" s="6" t="s">
        <v>76</v>
      </c>
      <c r="E56" s="7" t="n">
        <v>66012</v>
      </c>
      <c r="F56" s="6" t="s">
        <v>157</v>
      </c>
      <c r="G56" s="6" t="n">
        <v>2024</v>
      </c>
      <c r="H56" s="5" t="s">
        <v>56</v>
      </c>
      <c r="I56" s="8" t="n">
        <v>45476</v>
      </c>
      <c r="J56" s="8" t="n">
        <v>45841</v>
      </c>
      <c r="K56" s="6" t="str">
        <f aca="true">IF(J56&gt;=TODAY(),"Vigente","Encerrado")</f>
        <v>Encerrado</v>
      </c>
      <c r="L56" s="9" t="n">
        <f aca="false">ROUND((J56-I56)/30.44,1)</f>
        <v>12</v>
      </c>
      <c r="M56" s="10" t="n">
        <v>216000</v>
      </c>
      <c r="N56" s="10" t="n">
        <f aca="false">IF(L56=0,"",M56/L56)</f>
        <v>18000</v>
      </c>
      <c r="O56" s="11" t="n">
        <f aca="false">IF(E56=0,"",N56*12/E56)</f>
        <v>3.27213233957462</v>
      </c>
      <c r="P56" s="5" t="s">
        <v>57</v>
      </c>
      <c r="Q56" s="5" t="s">
        <v>278</v>
      </c>
      <c r="R56" s="5" t="s">
        <v>279</v>
      </c>
    </row>
    <row r="57" customFormat="false" ht="15" hidden="false" customHeight="false" outlineLevel="0" collapsed="false">
      <c r="A57" s="12" t="s">
        <v>280</v>
      </c>
      <c r="B57" s="12" t="s">
        <v>52</v>
      </c>
      <c r="C57" s="12" t="s">
        <v>281</v>
      </c>
      <c r="D57" s="13" t="s">
        <v>54</v>
      </c>
      <c r="E57" s="14" t="n">
        <v>85982</v>
      </c>
      <c r="F57" s="13" t="s">
        <v>157</v>
      </c>
      <c r="G57" s="13" t="n">
        <v>2026</v>
      </c>
      <c r="H57" s="12" t="s">
        <v>56</v>
      </c>
      <c r="I57" s="15" t="n">
        <v>46204</v>
      </c>
      <c r="J57" s="15" t="n">
        <v>46387</v>
      </c>
      <c r="K57" s="13" t="str">
        <f aca="true">IF(J57&gt;=TODAY(),"Vigente","Encerrado")</f>
        <v>Vigente</v>
      </c>
      <c r="L57" s="16" t="n">
        <f aca="false">ROUND((J57-I57)/30.44,1)</f>
        <v>6</v>
      </c>
      <c r="M57" s="17" t="n">
        <v>122700</v>
      </c>
      <c r="N57" s="17" t="n">
        <f aca="false">IF(L57=0,"",M57/L57)</f>
        <v>20450</v>
      </c>
      <c r="O57" s="18" t="n">
        <f aca="false">IF(E57=0,"",N57*12/E57)</f>
        <v>2.85408573887558</v>
      </c>
      <c r="P57" s="12" t="s">
        <v>57</v>
      </c>
      <c r="Q57" s="12" t="s">
        <v>282</v>
      </c>
      <c r="R57" s="12" t="s">
        <v>283</v>
      </c>
    </row>
    <row r="58" customFormat="false" ht="15" hidden="false" customHeight="false" outlineLevel="0" collapsed="false">
      <c r="A58" s="5" t="s">
        <v>284</v>
      </c>
      <c r="B58" s="5" t="s">
        <v>52</v>
      </c>
      <c r="C58" s="5" t="s">
        <v>285</v>
      </c>
      <c r="D58" s="6" t="s">
        <v>54</v>
      </c>
      <c r="E58" s="7" t="n">
        <v>83330</v>
      </c>
      <c r="F58" s="6" t="s">
        <v>157</v>
      </c>
      <c r="G58" s="6" t="n">
        <v>2025</v>
      </c>
      <c r="H58" s="5" t="s">
        <v>62</v>
      </c>
      <c r="I58" s="8" t="n">
        <v>45819</v>
      </c>
      <c r="J58" s="8" t="n">
        <v>46184</v>
      </c>
      <c r="K58" s="6" t="str">
        <f aca="true">IF(J58&gt;=TODAY(),"Vigente","Encerrado")</f>
        <v>Encerrado</v>
      </c>
      <c r="L58" s="9" t="n">
        <f aca="false">ROUND((J58-I58)/30.44,1)</f>
        <v>12</v>
      </c>
      <c r="M58" s="10" t="n">
        <v>247999.92</v>
      </c>
      <c r="N58" s="10" t="n">
        <f aca="false">IF(L58=0,"",M58/L58)</f>
        <v>20666.66</v>
      </c>
      <c r="O58" s="11" t="n">
        <f aca="false">IF(E58=0,"",N58*12/E58)</f>
        <v>2.97611808472339</v>
      </c>
      <c r="P58" s="5" t="s">
        <v>57</v>
      </c>
      <c r="Q58" s="5" t="s">
        <v>263</v>
      </c>
      <c r="R58" s="5" t="s">
        <v>286</v>
      </c>
    </row>
    <row r="59" customFormat="false" ht="15" hidden="false" customHeight="false" outlineLevel="0" collapsed="false">
      <c r="A59" s="12" t="s">
        <v>276</v>
      </c>
      <c r="B59" s="12" t="s">
        <v>52</v>
      </c>
      <c r="C59" s="12" t="s">
        <v>277</v>
      </c>
      <c r="D59" s="13" t="s">
        <v>76</v>
      </c>
      <c r="E59" s="14" t="n">
        <v>66012</v>
      </c>
      <c r="F59" s="13" t="s">
        <v>157</v>
      </c>
      <c r="G59" s="13" t="n">
        <v>2025</v>
      </c>
      <c r="H59" s="12" t="s">
        <v>62</v>
      </c>
      <c r="I59" s="15" t="n">
        <v>45866</v>
      </c>
      <c r="J59" s="15" t="n">
        <v>46019</v>
      </c>
      <c r="K59" s="13" t="str">
        <f aca="true">IF(J59&gt;=TODAY(),"Vigente","Encerrado")</f>
        <v>Encerrado</v>
      </c>
      <c r="L59" s="16" t="n">
        <f aca="false">ROUND((J59-I59)/30.44,1)</f>
        <v>5</v>
      </c>
      <c r="M59" s="17" t="n">
        <v>112500</v>
      </c>
      <c r="N59" s="17" t="n">
        <f aca="false">IF(L59=0,"",M59/L59)</f>
        <v>22500</v>
      </c>
      <c r="O59" s="18" t="n">
        <f aca="false">IF(E59=0,"",N59*12/E59)</f>
        <v>4.09016542446828</v>
      </c>
      <c r="P59" s="12" t="s">
        <v>57</v>
      </c>
      <c r="Q59" s="12" t="s">
        <v>287</v>
      </c>
      <c r="R59" s="12" t="s">
        <v>288</v>
      </c>
    </row>
    <row r="60" customFormat="false" ht="15" hidden="false" customHeight="false" outlineLevel="0" collapsed="false">
      <c r="A60" s="5" t="s">
        <v>289</v>
      </c>
      <c r="B60" s="5" t="s">
        <v>52</v>
      </c>
      <c r="C60" s="5" t="s">
        <v>290</v>
      </c>
      <c r="D60" s="6" t="s">
        <v>177</v>
      </c>
      <c r="E60" s="7" t="n">
        <v>61970</v>
      </c>
      <c r="F60" s="6" t="s">
        <v>157</v>
      </c>
      <c r="G60" s="6" t="n">
        <v>2026</v>
      </c>
      <c r="H60" s="5" t="s">
        <v>62</v>
      </c>
      <c r="I60" s="8" t="n">
        <v>46050</v>
      </c>
      <c r="J60" s="8" t="n">
        <v>46399</v>
      </c>
      <c r="K60" s="6" t="str">
        <f aca="true">IF(J60&gt;=TODAY(),"Vigente","Encerrado")</f>
        <v>Vigente</v>
      </c>
      <c r="L60" s="9" t="n">
        <f aca="false">ROUND((J60-I60)/30.44,1)</f>
        <v>11.5</v>
      </c>
      <c r="M60" s="10" t="n">
        <v>270000</v>
      </c>
      <c r="N60" s="10" t="n">
        <f aca="false">IF(L60=0,"",M60/L60)</f>
        <v>23478.2608695652</v>
      </c>
      <c r="O60" s="11" t="n">
        <f aca="false">IF(E60=0,"",N60*12/E60)</f>
        <v>4.54637938413398</v>
      </c>
      <c r="P60" s="5" t="s">
        <v>57</v>
      </c>
      <c r="Q60" s="5" t="s">
        <v>291</v>
      </c>
      <c r="R60" s="5" t="s">
        <v>292</v>
      </c>
    </row>
    <row r="61" customFormat="false" ht="15" hidden="false" customHeight="false" outlineLevel="0" collapsed="false">
      <c r="A61" s="12" t="s">
        <v>293</v>
      </c>
      <c r="B61" s="12" t="s">
        <v>52</v>
      </c>
      <c r="C61" s="12" t="s">
        <v>294</v>
      </c>
      <c r="D61" s="13" t="s">
        <v>81</v>
      </c>
      <c r="E61" s="14" t="n">
        <v>141084</v>
      </c>
      <c r="F61" s="13" t="s">
        <v>295</v>
      </c>
      <c r="G61" s="13" t="n">
        <v>2023</v>
      </c>
      <c r="H61" s="12" t="s">
        <v>56</v>
      </c>
      <c r="I61" s="15" t="n">
        <v>45141</v>
      </c>
      <c r="J61" s="15" t="n">
        <v>45506</v>
      </c>
      <c r="K61" s="13" t="str">
        <f aca="true">IF(J61&gt;=TODAY(),"Vigente","Encerrado")</f>
        <v>Encerrado</v>
      </c>
      <c r="L61" s="16" t="n">
        <f aca="false">ROUND((J61-I61)/30.44,1)</f>
        <v>12</v>
      </c>
      <c r="M61" s="17" t="n">
        <v>22500</v>
      </c>
      <c r="N61" s="17" t="n">
        <f aca="false">IF(L61=0,"",M61/L61)</f>
        <v>1875</v>
      </c>
      <c r="O61" s="18" t="n">
        <f aca="false">IF(E61=0,"",N61*12/E61)</f>
        <v>0.159479459045675</v>
      </c>
      <c r="P61" s="12" t="s">
        <v>57</v>
      </c>
      <c r="Q61" s="12" t="s">
        <v>296</v>
      </c>
      <c r="R61" s="12" t="s">
        <v>297</v>
      </c>
    </row>
    <row r="62" customFormat="false" ht="15" hidden="false" customHeight="false" outlineLevel="0" collapsed="false">
      <c r="A62" s="5" t="s">
        <v>298</v>
      </c>
      <c r="B62" s="5" t="s">
        <v>52</v>
      </c>
      <c r="C62" s="5" t="s">
        <v>299</v>
      </c>
      <c r="D62" s="6" t="s">
        <v>81</v>
      </c>
      <c r="E62" s="7" t="n">
        <v>189338</v>
      </c>
      <c r="F62" s="6" t="s">
        <v>295</v>
      </c>
      <c r="G62" s="6" t="n">
        <v>2023</v>
      </c>
      <c r="H62" s="5" t="s">
        <v>56</v>
      </c>
      <c r="I62" s="8" t="n">
        <v>45076</v>
      </c>
      <c r="J62" s="8" t="n">
        <v>45441</v>
      </c>
      <c r="K62" s="6" t="str">
        <f aca="true">IF(J62&gt;=TODAY(),"Vigente","Encerrado")</f>
        <v>Encerrado</v>
      </c>
      <c r="L62" s="9" t="n">
        <f aca="false">ROUND((J62-I62)/30.44,1)</f>
        <v>12</v>
      </c>
      <c r="M62" s="10" t="n">
        <v>36480</v>
      </c>
      <c r="N62" s="10" t="n">
        <f aca="false">IF(L62=0,"",M62/L62)</f>
        <v>3040</v>
      </c>
      <c r="O62" s="11" t="n">
        <f aca="false">IF(E62=0,"",N62*12/E62)</f>
        <v>0.192671307397353</v>
      </c>
      <c r="P62" s="5" t="s">
        <v>57</v>
      </c>
      <c r="Q62" s="5" t="s">
        <v>300</v>
      </c>
      <c r="R62" s="5" t="s">
        <v>301</v>
      </c>
    </row>
    <row r="63" customFormat="false" ht="15" hidden="false" customHeight="false" outlineLevel="0" collapsed="false">
      <c r="A63" s="12" t="s">
        <v>298</v>
      </c>
      <c r="B63" s="12" t="s">
        <v>52</v>
      </c>
      <c r="C63" s="12" t="s">
        <v>299</v>
      </c>
      <c r="D63" s="13" t="s">
        <v>81</v>
      </c>
      <c r="E63" s="14" t="n">
        <v>189338</v>
      </c>
      <c r="F63" s="13" t="s">
        <v>295</v>
      </c>
      <c r="G63" s="13" t="n">
        <v>2023</v>
      </c>
      <c r="H63" s="12" t="s">
        <v>56</v>
      </c>
      <c r="I63" s="15" t="n">
        <v>45076</v>
      </c>
      <c r="J63" s="15" t="n">
        <v>45441</v>
      </c>
      <c r="K63" s="13" t="str">
        <f aca="true">IF(J63&gt;=TODAY(),"Vigente","Encerrado")</f>
        <v>Encerrado</v>
      </c>
      <c r="L63" s="16" t="n">
        <f aca="false">ROUND((J63-I63)/30.44,1)</f>
        <v>12</v>
      </c>
      <c r="M63" s="17" t="n">
        <v>36480</v>
      </c>
      <c r="N63" s="17" t="n">
        <f aca="false">IF(L63=0,"",M63/L63)</f>
        <v>3040</v>
      </c>
      <c r="O63" s="18" t="n">
        <f aca="false">IF(E63=0,"",N63*12/E63)</f>
        <v>0.192671307397353</v>
      </c>
      <c r="P63" s="12" t="s">
        <v>57</v>
      </c>
      <c r="Q63" s="12" t="s">
        <v>302</v>
      </c>
      <c r="R63" s="12" t="s">
        <v>303</v>
      </c>
    </row>
    <row r="64" customFormat="false" ht="15" hidden="false" customHeight="false" outlineLevel="0" collapsed="false">
      <c r="A64" s="5" t="s">
        <v>304</v>
      </c>
      <c r="B64" s="5" t="s">
        <v>52</v>
      </c>
      <c r="C64" s="5" t="s">
        <v>305</v>
      </c>
      <c r="D64" s="6" t="s">
        <v>195</v>
      </c>
      <c r="E64" s="7" t="n">
        <v>238025</v>
      </c>
      <c r="F64" s="6" t="s">
        <v>295</v>
      </c>
      <c r="G64" s="6" t="n">
        <v>2024</v>
      </c>
      <c r="H64" s="5" t="s">
        <v>62</v>
      </c>
      <c r="I64" s="8" t="n">
        <v>45390</v>
      </c>
      <c r="J64" s="8" t="n">
        <v>46485</v>
      </c>
      <c r="K64" s="6" t="str">
        <f aca="true">IF(J64&gt;=TODAY(),"Vigente","Encerrado")</f>
        <v>Vigente</v>
      </c>
      <c r="L64" s="9" t="n">
        <f aca="false">ROUND((J64-I64)/30.44,1)</f>
        <v>36</v>
      </c>
      <c r="M64" s="10" t="n">
        <v>159658.56</v>
      </c>
      <c r="N64" s="10" t="n">
        <f aca="false">IF(L64=0,"",M64/L64)</f>
        <v>4434.96</v>
      </c>
      <c r="O64" s="11" t="n">
        <f aca="false">IF(E64=0,"",N64*12/E64)</f>
        <v>0.223587942443021</v>
      </c>
      <c r="P64" s="5" t="s">
        <v>57</v>
      </c>
      <c r="Q64" s="5" t="s">
        <v>306</v>
      </c>
      <c r="R64" s="5" t="s">
        <v>307</v>
      </c>
    </row>
    <row r="65" customFormat="false" ht="15" hidden="false" customHeight="false" outlineLevel="0" collapsed="false">
      <c r="A65" s="12" t="s">
        <v>308</v>
      </c>
      <c r="B65" s="12" t="s">
        <v>52</v>
      </c>
      <c r="C65" s="12" t="s">
        <v>309</v>
      </c>
      <c r="D65" s="13" t="s">
        <v>81</v>
      </c>
      <c r="E65" s="14" t="n">
        <v>294973</v>
      </c>
      <c r="F65" s="13" t="s">
        <v>295</v>
      </c>
      <c r="G65" s="13" t="n">
        <v>2025</v>
      </c>
      <c r="H65" s="12" t="s">
        <v>62</v>
      </c>
      <c r="I65" s="15" t="n">
        <v>45910</v>
      </c>
      <c r="J65" s="15" t="n">
        <v>46274</v>
      </c>
      <c r="K65" s="13" t="str">
        <f aca="true">IF(J65&gt;=TODAY(),"Vigente","Encerrado")</f>
        <v>Vigente</v>
      </c>
      <c r="L65" s="16" t="n">
        <f aca="false">ROUND((J65-I65)/30.44,1)</f>
        <v>12</v>
      </c>
      <c r="M65" s="17" t="n">
        <v>59268</v>
      </c>
      <c r="N65" s="17" t="n">
        <f aca="false">IF(L65=0,"",M65/L65)</f>
        <v>4939</v>
      </c>
      <c r="O65" s="18" t="n">
        <f aca="false">IF(E65=0,"",N65*12/E65)</f>
        <v>0.200926864492682</v>
      </c>
      <c r="P65" s="12" t="s">
        <v>57</v>
      </c>
      <c r="Q65" s="12" t="s">
        <v>310</v>
      </c>
      <c r="R65" s="12" t="s">
        <v>311</v>
      </c>
    </row>
    <row r="66" customFormat="false" ht="15" hidden="false" customHeight="false" outlineLevel="0" collapsed="false">
      <c r="A66" s="5" t="s">
        <v>312</v>
      </c>
      <c r="B66" s="5" t="s">
        <v>52</v>
      </c>
      <c r="C66" s="5" t="s">
        <v>313</v>
      </c>
      <c r="D66" s="6" t="s">
        <v>54</v>
      </c>
      <c r="E66" s="7" t="n">
        <v>245477</v>
      </c>
      <c r="F66" s="6" t="s">
        <v>295</v>
      </c>
      <c r="G66" s="6" t="n">
        <v>2025</v>
      </c>
      <c r="H66" s="5" t="s">
        <v>62</v>
      </c>
      <c r="I66" s="8" t="n">
        <v>45826</v>
      </c>
      <c r="J66" s="8" t="n">
        <v>46191</v>
      </c>
      <c r="K66" s="6" t="str">
        <f aca="true">IF(J66&gt;=TODAY(),"Vigente","Encerrado")</f>
        <v>Encerrado</v>
      </c>
      <c r="L66" s="9" t="n">
        <f aca="false">ROUND((J66-I66)/30.44,1)</f>
        <v>12</v>
      </c>
      <c r="M66" s="10" t="n">
        <v>155776.8</v>
      </c>
      <c r="N66" s="10" t="n">
        <f aca="false">IF(L66=0,"",M66/L66)</f>
        <v>12981.4</v>
      </c>
      <c r="O66" s="11" t="n">
        <f aca="false">IF(E66=0,"",N66*12/E66)</f>
        <v>0.634588169156377</v>
      </c>
      <c r="P66" s="5" t="s">
        <v>57</v>
      </c>
      <c r="Q66" s="5" t="s">
        <v>314</v>
      </c>
      <c r="R66" s="5" t="s">
        <v>315</v>
      </c>
    </row>
    <row r="67" customFormat="false" ht="15" hidden="false" customHeight="false" outlineLevel="0" collapsed="false">
      <c r="A67" s="12" t="s">
        <v>316</v>
      </c>
      <c r="B67" s="12" t="s">
        <v>52</v>
      </c>
      <c r="C67" s="12" t="s">
        <v>317</v>
      </c>
      <c r="D67" s="13" t="s">
        <v>209</v>
      </c>
      <c r="E67" s="14" t="n">
        <v>106397</v>
      </c>
      <c r="F67" s="13" t="s">
        <v>295</v>
      </c>
      <c r="G67" s="13" t="n">
        <v>2026</v>
      </c>
      <c r="H67" s="12" t="s">
        <v>62</v>
      </c>
      <c r="I67" s="15" t="n">
        <v>46031</v>
      </c>
      <c r="J67" s="15" t="n">
        <v>46395</v>
      </c>
      <c r="K67" s="13" t="str">
        <f aca="true">IF(J67&gt;=TODAY(),"Vigente","Encerrado")</f>
        <v>Vigente</v>
      </c>
      <c r="L67" s="16" t="n">
        <f aca="false">ROUND((J67-I67)/30.44,1)</f>
        <v>12</v>
      </c>
      <c r="M67" s="17" t="n">
        <v>162000</v>
      </c>
      <c r="N67" s="17" t="n">
        <f aca="false">IF(L67=0,"",M67/L67)</f>
        <v>13500</v>
      </c>
      <c r="O67" s="18" t="n">
        <f aca="false">IF(E67=0,"",N67*12/E67)</f>
        <v>1.52259932140944</v>
      </c>
      <c r="P67" s="12" t="s">
        <v>57</v>
      </c>
      <c r="Q67" s="12" t="s">
        <v>318</v>
      </c>
      <c r="R67" s="12" t="s">
        <v>319</v>
      </c>
    </row>
    <row r="68" customFormat="false" ht="15" hidden="false" customHeight="false" outlineLevel="0" collapsed="false">
      <c r="A68" s="5" t="s">
        <v>320</v>
      </c>
      <c r="B68" s="5" t="s">
        <v>52</v>
      </c>
      <c r="C68" s="5" t="s">
        <v>321</v>
      </c>
      <c r="D68" s="6" t="s">
        <v>54</v>
      </c>
      <c r="E68" s="7" t="n">
        <v>151949</v>
      </c>
      <c r="F68" s="6" t="s">
        <v>295</v>
      </c>
      <c r="G68" s="6" t="n">
        <v>2025</v>
      </c>
      <c r="H68" s="5" t="s">
        <v>62</v>
      </c>
      <c r="I68" s="8" t="n">
        <v>45901</v>
      </c>
      <c r="J68" s="8" t="n">
        <v>46265</v>
      </c>
      <c r="K68" s="6" t="str">
        <f aca="true">IF(J68&gt;=TODAY(),"Vigente","Encerrado")</f>
        <v>Encerrado</v>
      </c>
      <c r="L68" s="9" t="n">
        <f aca="false">ROUND((J68-I68)/30.44,1)</f>
        <v>12</v>
      </c>
      <c r="M68" s="10" t="n">
        <v>278400</v>
      </c>
      <c r="N68" s="10" t="n">
        <f aca="false">IF(L68=0,"",M68/L68)</f>
        <v>23200</v>
      </c>
      <c r="O68" s="11" t="n">
        <f aca="false">IF(E68=0,"",N68*12/E68)</f>
        <v>1.83219369656924</v>
      </c>
      <c r="P68" s="5" t="s">
        <v>57</v>
      </c>
      <c r="Q68" s="5" t="s">
        <v>322</v>
      </c>
      <c r="R68" s="5" t="s">
        <v>323</v>
      </c>
    </row>
    <row r="69" customFormat="false" ht="15" hidden="false" customHeight="false" outlineLevel="0" collapsed="false">
      <c r="A69" s="12" t="s">
        <v>324</v>
      </c>
      <c r="B69" s="12" t="s">
        <v>52</v>
      </c>
      <c r="C69" s="12" t="s">
        <v>325</v>
      </c>
      <c r="D69" s="13" t="s">
        <v>81</v>
      </c>
      <c r="E69" s="14" t="n">
        <v>166043</v>
      </c>
      <c r="F69" s="13" t="s">
        <v>295</v>
      </c>
      <c r="G69" s="13" t="n">
        <v>2024</v>
      </c>
      <c r="H69" s="12" t="s">
        <v>62</v>
      </c>
      <c r="I69" s="15" t="n">
        <v>45323</v>
      </c>
      <c r="J69" s="15" t="n">
        <v>45688</v>
      </c>
      <c r="K69" s="13" t="str">
        <f aca="true">IF(J69&gt;=TODAY(),"Vigente","Encerrado")</f>
        <v>Encerrado</v>
      </c>
      <c r="L69" s="16" t="n">
        <f aca="false">ROUND((J69-I69)/30.44,1)</f>
        <v>12</v>
      </c>
      <c r="M69" s="17" t="n">
        <v>637999.68</v>
      </c>
      <c r="N69" s="17" t="n">
        <f aca="false">IF(L69=0,"",M69/L69)</f>
        <v>53166.64</v>
      </c>
      <c r="O69" s="18" t="n">
        <f aca="false">IF(E69=0,"",N69*12/E69)</f>
        <v>3.84237625193474</v>
      </c>
      <c r="P69" s="12" t="s">
        <v>57</v>
      </c>
      <c r="Q69" s="12" t="s">
        <v>326</v>
      </c>
      <c r="R69" s="12" t="s">
        <v>327</v>
      </c>
    </row>
    <row r="70" customFormat="false" ht="15" hidden="false" customHeight="false" outlineLevel="0" collapsed="false">
      <c r="A70" s="5" t="s">
        <v>328</v>
      </c>
      <c r="B70" s="5" t="s">
        <v>52</v>
      </c>
      <c r="C70" s="5" t="s">
        <v>329</v>
      </c>
      <c r="D70" s="6" t="s">
        <v>127</v>
      </c>
      <c r="E70" s="7" t="n">
        <v>402290</v>
      </c>
      <c r="F70" s="6" t="s">
        <v>295</v>
      </c>
      <c r="G70" s="6" t="n">
        <v>2026</v>
      </c>
      <c r="H70" s="5" t="s">
        <v>56</v>
      </c>
      <c r="I70" s="8" t="n">
        <v>46176</v>
      </c>
      <c r="J70" s="8" t="n">
        <v>46540</v>
      </c>
      <c r="K70" s="6" t="str">
        <f aca="true">IF(J70&gt;=TODAY(),"Vigente","Encerrado")</f>
        <v>Vigente</v>
      </c>
      <c r="L70" s="9" t="n">
        <f aca="false">ROUND((J70-I70)/30.44,1)</f>
        <v>12</v>
      </c>
      <c r="M70" s="10" t="n">
        <v>810000</v>
      </c>
      <c r="N70" s="10" t="n">
        <f aca="false">IF(L70=0,"",M70/L70)</f>
        <v>67500</v>
      </c>
      <c r="O70" s="11" t="n">
        <f aca="false">IF(E70=0,"",N70*12/E70)</f>
        <v>2.01347286783166</v>
      </c>
      <c r="P70" s="5" t="s">
        <v>57</v>
      </c>
      <c r="Q70" s="5" t="s">
        <v>330</v>
      </c>
      <c r="R70" s="5" t="s">
        <v>331</v>
      </c>
    </row>
    <row r="71" customFormat="false" ht="15" hidden="false" customHeight="false" outlineLevel="0" collapsed="false">
      <c r="A71" s="12" t="s">
        <v>332</v>
      </c>
      <c r="B71" s="12" t="s">
        <v>52</v>
      </c>
      <c r="C71" s="12" t="s">
        <v>333</v>
      </c>
      <c r="D71" s="13" t="s">
        <v>81</v>
      </c>
      <c r="E71" s="14" t="n">
        <v>501597</v>
      </c>
      <c r="F71" s="13" t="s">
        <v>334</v>
      </c>
      <c r="G71" s="13" t="n">
        <v>2025</v>
      </c>
      <c r="H71" s="12" t="s">
        <v>56</v>
      </c>
      <c r="I71" s="15" t="n">
        <v>45987</v>
      </c>
      <c r="J71" s="15" t="n">
        <v>47812</v>
      </c>
      <c r="K71" s="13" t="str">
        <f aca="true">IF(J71&gt;=TODAY(),"Vigente","Encerrado")</f>
        <v>Vigente</v>
      </c>
      <c r="L71" s="16" t="n">
        <f aca="false">ROUND((J71-I71)/30.44,1)</f>
        <v>60</v>
      </c>
      <c r="M71" s="17" t="n">
        <v>59819.29</v>
      </c>
      <c r="N71" s="17" t="n">
        <f aca="false">IF(L71=0,"",M71/L71)</f>
        <v>996.988166666667</v>
      </c>
      <c r="O71" s="18" t="n">
        <f aca="false">IF(E71=0,"",N71*12/E71)</f>
        <v>0.0238515341997659</v>
      </c>
      <c r="P71" s="12" t="s">
        <v>57</v>
      </c>
      <c r="Q71" s="12" t="s">
        <v>335</v>
      </c>
      <c r="R71" s="12" t="s">
        <v>336</v>
      </c>
    </row>
    <row r="72" customFormat="false" ht="15" hidden="false" customHeight="false" outlineLevel="0" collapsed="false">
      <c r="A72" s="5" t="s">
        <v>337</v>
      </c>
      <c r="B72" s="5" t="s">
        <v>52</v>
      </c>
      <c r="C72" s="5" t="s">
        <v>338</v>
      </c>
      <c r="D72" s="6" t="s">
        <v>81</v>
      </c>
      <c r="E72" s="7" t="n">
        <v>11895578</v>
      </c>
      <c r="F72" s="6" t="s">
        <v>334</v>
      </c>
      <c r="G72" s="6" t="n">
        <v>2025</v>
      </c>
      <c r="H72" s="5" t="s">
        <v>62</v>
      </c>
      <c r="I72" s="8" t="n">
        <v>45723</v>
      </c>
      <c r="J72" s="8" t="n">
        <v>46088</v>
      </c>
      <c r="K72" s="6" t="str">
        <f aca="true">IF(J72&gt;=TODAY(),"Vigente","Encerrado")</f>
        <v>Encerrado</v>
      </c>
      <c r="L72" s="9" t="n">
        <f aca="false">ROUND((J72-I72)/30.44,1)</f>
        <v>12</v>
      </c>
      <c r="M72" s="10" t="n">
        <v>69600</v>
      </c>
      <c r="N72" s="10" t="n">
        <f aca="false">IF(L72=0,"",M72/L72)</f>
        <v>5800</v>
      </c>
      <c r="O72" s="11" t="n">
        <f aca="false">IF(E72=0,"",N72*12/E72)</f>
        <v>0.00585091367565326</v>
      </c>
      <c r="P72" s="5" t="s">
        <v>57</v>
      </c>
      <c r="Q72" s="5" t="s">
        <v>339</v>
      </c>
      <c r="R72" s="5" t="s">
        <v>340</v>
      </c>
    </row>
    <row r="73" customFormat="false" ht="15" hidden="false" customHeight="false" outlineLevel="0" collapsed="false">
      <c r="A73" s="12" t="s">
        <v>341</v>
      </c>
      <c r="B73" s="12" t="s">
        <v>342</v>
      </c>
      <c r="C73" s="12" t="s">
        <v>343</v>
      </c>
      <c r="D73" s="13" t="s">
        <v>195</v>
      </c>
      <c r="E73" s="14" t="n">
        <v>2893</v>
      </c>
      <c r="F73" s="13" t="s">
        <v>55</v>
      </c>
      <c r="G73" s="13" t="n">
        <v>2025</v>
      </c>
      <c r="H73" s="12" t="s">
        <v>56</v>
      </c>
      <c r="I73" s="15" t="n">
        <v>45901</v>
      </c>
      <c r="J73" s="15" t="n">
        <v>46022</v>
      </c>
      <c r="K73" s="13" t="str">
        <f aca="true">IF(J73&gt;=TODAY(),"Vigente","Encerrado")</f>
        <v>Encerrado</v>
      </c>
      <c r="L73" s="16" t="n">
        <f aca="false">ROUND((J73-I73)/30.44,1)</f>
        <v>4</v>
      </c>
      <c r="M73" s="17" t="n">
        <v>6400</v>
      </c>
      <c r="N73" s="17" t="n">
        <f aca="false">IF(L73=0,"",M73/L73)</f>
        <v>1600</v>
      </c>
      <c r="O73" s="18" t="n">
        <f aca="false">IF(E73=0,"",N73*12/E73)</f>
        <v>6.63670929830626</v>
      </c>
      <c r="P73" s="12" t="s">
        <v>57</v>
      </c>
      <c r="Q73" s="12" t="s">
        <v>344</v>
      </c>
      <c r="R73" s="12" t="s">
        <v>345</v>
      </c>
    </row>
    <row r="74" customFormat="false" ht="15" hidden="false" customHeight="false" outlineLevel="0" collapsed="false">
      <c r="A74" s="5" t="s">
        <v>346</v>
      </c>
      <c r="B74" s="5" t="s">
        <v>342</v>
      </c>
      <c r="C74" s="5" t="s">
        <v>347</v>
      </c>
      <c r="D74" s="6" t="s">
        <v>76</v>
      </c>
      <c r="E74" s="7" t="n">
        <v>5706</v>
      </c>
      <c r="F74" s="6" t="s">
        <v>55</v>
      </c>
      <c r="G74" s="6" t="n">
        <v>2026</v>
      </c>
      <c r="H74" s="5" t="s">
        <v>56</v>
      </c>
      <c r="I74" s="8" t="n">
        <v>46206</v>
      </c>
      <c r="J74" s="8" t="n">
        <v>46570</v>
      </c>
      <c r="K74" s="6" t="str">
        <f aca="true">IF(J74&gt;=TODAY(),"Vigente","Encerrado")</f>
        <v>Vigente</v>
      </c>
      <c r="L74" s="9" t="n">
        <f aca="false">ROUND((J74-I74)/30.44,1)</f>
        <v>12</v>
      </c>
      <c r="M74" s="10" t="n">
        <v>21600</v>
      </c>
      <c r="N74" s="10" t="n">
        <f aca="false">IF(L74=0,"",M74/L74)</f>
        <v>1800</v>
      </c>
      <c r="O74" s="11" t="n">
        <f aca="false">IF(E74=0,"",N74*12/E74)</f>
        <v>3.78548895899054</v>
      </c>
      <c r="P74" s="5" t="s">
        <v>57</v>
      </c>
      <c r="Q74" s="5" t="s">
        <v>348</v>
      </c>
      <c r="R74" s="5" t="s">
        <v>349</v>
      </c>
    </row>
    <row r="75" customFormat="false" ht="15" hidden="false" customHeight="false" outlineLevel="0" collapsed="false">
      <c r="A75" s="12" t="s">
        <v>350</v>
      </c>
      <c r="B75" s="12" t="s">
        <v>342</v>
      </c>
      <c r="C75" s="12" t="s">
        <v>351</v>
      </c>
      <c r="D75" s="13" t="s">
        <v>67</v>
      </c>
      <c r="E75" s="14" t="n">
        <v>7756</v>
      </c>
      <c r="F75" s="13" t="s">
        <v>55</v>
      </c>
      <c r="G75" s="13" t="n">
        <v>2026</v>
      </c>
      <c r="H75" s="12" t="s">
        <v>56</v>
      </c>
      <c r="I75" s="15" t="n">
        <v>46216</v>
      </c>
      <c r="J75" s="15" t="n">
        <v>46581</v>
      </c>
      <c r="K75" s="13" t="str">
        <f aca="true">IF(J75&gt;=TODAY(),"Vigente","Encerrado")</f>
        <v>Vigente</v>
      </c>
      <c r="L75" s="16" t="n">
        <f aca="false">ROUND((J75-I75)/30.44,1)</f>
        <v>12</v>
      </c>
      <c r="M75" s="17" t="n">
        <v>21600</v>
      </c>
      <c r="N75" s="17" t="n">
        <f aca="false">IF(L75=0,"",M75/L75)</f>
        <v>1800</v>
      </c>
      <c r="O75" s="18" t="n">
        <f aca="false">IF(E75=0,"",N75*12/E75)</f>
        <v>2.78494069107788</v>
      </c>
      <c r="P75" s="12" t="s">
        <v>57</v>
      </c>
      <c r="Q75" s="12" t="s">
        <v>352</v>
      </c>
      <c r="R75" s="12" t="s">
        <v>353</v>
      </c>
    </row>
    <row r="76" customFormat="false" ht="15" hidden="false" customHeight="false" outlineLevel="0" collapsed="false">
      <c r="A76" s="5" t="s">
        <v>354</v>
      </c>
      <c r="B76" s="5" t="s">
        <v>342</v>
      </c>
      <c r="C76" s="5" t="s">
        <v>355</v>
      </c>
      <c r="D76" s="6" t="s">
        <v>94</v>
      </c>
      <c r="E76" s="7" t="n">
        <v>91626</v>
      </c>
      <c r="F76" s="6" t="s">
        <v>157</v>
      </c>
      <c r="G76" s="6" t="n">
        <v>2026</v>
      </c>
      <c r="H76" s="5" t="s">
        <v>56</v>
      </c>
      <c r="I76" s="8" t="n">
        <v>46181</v>
      </c>
      <c r="J76" s="8" t="n">
        <v>48006</v>
      </c>
      <c r="K76" s="6" t="str">
        <f aca="true">IF(J76&gt;=TODAY(),"Vigente","Encerrado")</f>
        <v>Vigente</v>
      </c>
      <c r="L76" s="9" t="n">
        <f aca="false">ROUND((J76-I76)/30.44,1)</f>
        <v>60</v>
      </c>
      <c r="M76" s="10" t="n">
        <v>47695.2</v>
      </c>
      <c r="N76" s="10" t="n">
        <f aca="false">IF(L76=0,"",M76/L76)</f>
        <v>794.92</v>
      </c>
      <c r="O76" s="11" t="n">
        <f aca="false">IF(E76=0,"",N76*12/E76)</f>
        <v>0.104108440835571</v>
      </c>
      <c r="P76" s="5" t="s">
        <v>57</v>
      </c>
      <c r="Q76" s="5" t="s">
        <v>356</v>
      </c>
      <c r="R76" s="5" t="s">
        <v>357</v>
      </c>
    </row>
    <row r="77" customFormat="false" ht="15" hidden="false" customHeight="false" outlineLevel="0" collapsed="false">
      <c r="A77" s="12" t="s">
        <v>358</v>
      </c>
      <c r="B77" s="12" t="s">
        <v>342</v>
      </c>
      <c r="C77" s="12" t="s">
        <v>359</v>
      </c>
      <c r="D77" s="13" t="s">
        <v>127</v>
      </c>
      <c r="E77" s="14" t="n">
        <v>65635</v>
      </c>
      <c r="F77" s="13" t="s">
        <v>157</v>
      </c>
      <c r="G77" s="13" t="n">
        <v>2025</v>
      </c>
      <c r="H77" s="12" t="s">
        <v>128</v>
      </c>
      <c r="I77" s="15" t="n">
        <v>45748</v>
      </c>
      <c r="J77" s="15" t="n">
        <v>46113</v>
      </c>
      <c r="K77" s="13" t="str">
        <f aca="true">IF(J77&gt;=TODAY(),"Vigente","Encerrado")</f>
        <v>Encerrado</v>
      </c>
      <c r="L77" s="16" t="n">
        <f aca="false">ROUND((J77-I77)/30.44,1)</f>
        <v>12</v>
      </c>
      <c r="M77" s="17" t="n">
        <v>17280</v>
      </c>
      <c r="N77" s="17" t="n">
        <f aca="false">IF(L77=0,"",M77/L77)</f>
        <v>1440</v>
      </c>
      <c r="O77" s="18" t="n">
        <f aca="false">IF(E77=0,"",N77*12/E77)</f>
        <v>0.263274167745867</v>
      </c>
      <c r="P77" s="12" t="s">
        <v>57</v>
      </c>
      <c r="Q77" s="12" t="s">
        <v>360</v>
      </c>
      <c r="R77" s="12" t="s">
        <v>361</v>
      </c>
    </row>
    <row r="78" customFormat="false" ht="15" hidden="false" customHeight="false" outlineLevel="0" collapsed="false">
      <c r="A78" s="5" t="s">
        <v>362</v>
      </c>
      <c r="B78" s="5" t="s">
        <v>342</v>
      </c>
      <c r="C78" s="5" t="s">
        <v>363</v>
      </c>
      <c r="D78" s="6" t="s">
        <v>81</v>
      </c>
      <c r="E78" s="7" t="n">
        <v>29257</v>
      </c>
      <c r="F78" s="6" t="s">
        <v>157</v>
      </c>
      <c r="G78" s="6" t="n">
        <v>2024</v>
      </c>
      <c r="H78" s="5" t="s">
        <v>62</v>
      </c>
      <c r="I78" s="8" t="n">
        <v>45603</v>
      </c>
      <c r="J78" s="8" t="n">
        <v>45968</v>
      </c>
      <c r="K78" s="6" t="str">
        <f aca="true">IF(J78&gt;=TODAY(),"Vigente","Encerrado")</f>
        <v>Encerrado</v>
      </c>
      <c r="L78" s="9" t="n">
        <f aca="false">ROUND((J78-I78)/30.44,1)</f>
        <v>12</v>
      </c>
      <c r="M78" s="10" t="n">
        <v>24000</v>
      </c>
      <c r="N78" s="10" t="n">
        <f aca="false">IF(L78=0,"",M78/L78)</f>
        <v>2000</v>
      </c>
      <c r="O78" s="11" t="n">
        <f aca="false">IF(E78=0,"",N78*12/E78)</f>
        <v>0.820316505451687</v>
      </c>
      <c r="P78" s="5" t="s">
        <v>57</v>
      </c>
      <c r="Q78" s="5" t="s">
        <v>364</v>
      </c>
      <c r="R78" s="5" t="s">
        <v>365</v>
      </c>
    </row>
    <row r="79" customFormat="false" ht="15" hidden="false" customHeight="false" outlineLevel="0" collapsed="false">
      <c r="A79" s="12" t="s">
        <v>366</v>
      </c>
      <c r="B79" s="12" t="s">
        <v>342</v>
      </c>
      <c r="C79" s="12" t="s">
        <v>217</v>
      </c>
      <c r="D79" s="13" t="s">
        <v>81</v>
      </c>
      <c r="E79" s="14" t="n">
        <v>24512</v>
      </c>
      <c r="F79" s="13" t="s">
        <v>157</v>
      </c>
      <c r="G79" s="13" t="n">
        <v>2026</v>
      </c>
      <c r="H79" s="12" t="s">
        <v>56</v>
      </c>
      <c r="I79" s="15" t="n">
        <v>46112</v>
      </c>
      <c r="J79" s="15" t="n">
        <v>46476</v>
      </c>
      <c r="K79" s="13" t="str">
        <f aca="true">IF(J79&gt;=TODAY(),"Vigente","Encerrado")</f>
        <v>Vigente</v>
      </c>
      <c r="L79" s="16" t="n">
        <f aca="false">ROUND((J79-I79)/30.44,1)</f>
        <v>12</v>
      </c>
      <c r="M79" s="17" t="n">
        <v>26400</v>
      </c>
      <c r="N79" s="17" t="n">
        <f aca="false">IF(L79=0,"",M79/L79)</f>
        <v>2200</v>
      </c>
      <c r="O79" s="18" t="n">
        <f aca="false">IF(E79=0,"",N79*12/E79)</f>
        <v>1.07702349869452</v>
      </c>
      <c r="P79" s="12" t="s">
        <v>57</v>
      </c>
      <c r="Q79" s="12" t="s">
        <v>367</v>
      </c>
      <c r="R79" s="12" t="s">
        <v>368</v>
      </c>
    </row>
    <row r="80" customFormat="false" ht="15" hidden="false" customHeight="false" outlineLevel="0" collapsed="false">
      <c r="A80" s="5" t="s">
        <v>369</v>
      </c>
      <c r="B80" s="5" t="s">
        <v>342</v>
      </c>
      <c r="C80" s="5" t="s">
        <v>370</v>
      </c>
      <c r="D80" s="6" t="s">
        <v>54</v>
      </c>
      <c r="E80" s="7" t="n">
        <v>56107</v>
      </c>
      <c r="F80" s="6" t="s">
        <v>157</v>
      </c>
      <c r="G80" s="6" t="n">
        <v>2024</v>
      </c>
      <c r="H80" s="5" t="s">
        <v>56</v>
      </c>
      <c r="I80" s="8" t="n">
        <v>45545</v>
      </c>
      <c r="J80" s="8" t="n">
        <v>45910</v>
      </c>
      <c r="K80" s="6" t="str">
        <f aca="true">IF(J80&gt;=TODAY(),"Vigente","Encerrado")</f>
        <v>Encerrado</v>
      </c>
      <c r="L80" s="9" t="n">
        <f aca="false">ROUND((J80-I80)/30.44,1)</f>
        <v>12</v>
      </c>
      <c r="M80" s="10" t="n">
        <v>34020</v>
      </c>
      <c r="N80" s="10" t="n">
        <f aca="false">IF(L80=0,"",M80/L80)</f>
        <v>2835</v>
      </c>
      <c r="O80" s="11" t="n">
        <f aca="false">IF(E80=0,"",N80*12/E80)</f>
        <v>0.606341454720445</v>
      </c>
      <c r="P80" s="5" t="s">
        <v>57</v>
      </c>
      <c r="Q80" s="5" t="s">
        <v>371</v>
      </c>
      <c r="R80" s="5" t="s">
        <v>372</v>
      </c>
    </row>
    <row r="81" customFormat="false" ht="15" hidden="false" customHeight="false" outlineLevel="0" collapsed="false">
      <c r="A81" s="12" t="s">
        <v>373</v>
      </c>
      <c r="B81" s="12" t="s">
        <v>342</v>
      </c>
      <c r="C81" s="12" t="s">
        <v>374</v>
      </c>
      <c r="D81" s="13" t="s">
        <v>164</v>
      </c>
      <c r="E81" s="14" t="n">
        <v>33791</v>
      </c>
      <c r="F81" s="13" t="s">
        <v>157</v>
      </c>
      <c r="G81" s="13" t="n">
        <v>2021</v>
      </c>
      <c r="H81" s="12" t="s">
        <v>56</v>
      </c>
      <c r="I81" s="15" t="n">
        <v>44452</v>
      </c>
      <c r="J81" s="15" t="n">
        <v>44817</v>
      </c>
      <c r="K81" s="13" t="str">
        <f aca="true">IF(J81&gt;=TODAY(),"Vigente","Encerrado")</f>
        <v>Encerrado</v>
      </c>
      <c r="L81" s="16" t="n">
        <f aca="false">ROUND((J81-I81)/30.44,1)</f>
        <v>12</v>
      </c>
      <c r="M81" s="17" t="n">
        <v>98679.72</v>
      </c>
      <c r="N81" s="17" t="n">
        <f aca="false">IF(L81=0,"",M81/L81)</f>
        <v>8223.31</v>
      </c>
      <c r="O81" s="18" t="n">
        <f aca="false">IF(E81=0,"",N81*12/E81)</f>
        <v>2.9202959367879</v>
      </c>
      <c r="P81" s="12" t="s">
        <v>57</v>
      </c>
      <c r="Q81" s="12" t="s">
        <v>375</v>
      </c>
      <c r="R81" s="12" t="s">
        <v>376</v>
      </c>
    </row>
    <row r="82" customFormat="false" ht="15" hidden="false" customHeight="false" outlineLevel="0" collapsed="false">
      <c r="A82" s="5" t="s">
        <v>377</v>
      </c>
      <c r="B82" s="5" t="s">
        <v>342</v>
      </c>
      <c r="C82" s="5" t="s">
        <v>378</v>
      </c>
      <c r="D82" s="6" t="s">
        <v>54</v>
      </c>
      <c r="E82" s="7" t="n">
        <v>195753</v>
      </c>
      <c r="F82" s="6" t="s">
        <v>295</v>
      </c>
      <c r="G82" s="6" t="n">
        <v>2025</v>
      </c>
      <c r="H82" s="5" t="s">
        <v>56</v>
      </c>
      <c r="I82" s="8" t="n">
        <v>45931</v>
      </c>
      <c r="J82" s="8" t="n">
        <v>46295</v>
      </c>
      <c r="K82" s="6" t="str">
        <f aca="true">IF(J82&gt;=TODAY(),"Vigente","Encerrado")</f>
        <v>Vigente</v>
      </c>
      <c r="L82" s="9" t="n">
        <f aca="false">ROUND((J82-I82)/30.44,1)</f>
        <v>12</v>
      </c>
      <c r="M82" s="10" t="n">
        <v>26400</v>
      </c>
      <c r="N82" s="10" t="n">
        <f aca="false">IF(L82=0,"",M82/L82)</f>
        <v>2200</v>
      </c>
      <c r="O82" s="11" t="n">
        <f aca="false">IF(E82=0,"",N82*12/E82)</f>
        <v>0.134863833504467</v>
      </c>
      <c r="P82" s="5" t="s">
        <v>57</v>
      </c>
      <c r="Q82" s="5" t="s">
        <v>379</v>
      </c>
      <c r="R82" s="5" t="s">
        <v>380</v>
      </c>
    </row>
    <row r="83" customFormat="false" ht="15" hidden="false" customHeight="false" outlineLevel="0" collapsed="false">
      <c r="A83" s="12" t="s">
        <v>381</v>
      </c>
      <c r="B83" s="12" t="s">
        <v>342</v>
      </c>
      <c r="C83" s="12" t="s">
        <v>382</v>
      </c>
      <c r="D83" s="13" t="s">
        <v>67</v>
      </c>
      <c r="E83" s="14" t="n">
        <v>124934</v>
      </c>
      <c r="F83" s="13" t="s">
        <v>295</v>
      </c>
      <c r="G83" s="13" t="n">
        <v>2026</v>
      </c>
      <c r="H83" s="12" t="s">
        <v>56</v>
      </c>
      <c r="I83" s="15" t="n">
        <v>46235</v>
      </c>
      <c r="J83" s="15" t="n">
        <v>46600</v>
      </c>
      <c r="K83" s="13" t="str">
        <f aca="true">IF(J83&gt;=TODAY(),"Vigente","Encerrado")</f>
        <v>Vigente</v>
      </c>
      <c r="L83" s="16" t="n">
        <f aca="false">ROUND((J83-I83)/30.44,1)</f>
        <v>12</v>
      </c>
      <c r="M83" s="17" t="n">
        <v>58800</v>
      </c>
      <c r="N83" s="17" t="n">
        <f aca="false">IF(L83=0,"",M83/L83)</f>
        <v>4900</v>
      </c>
      <c r="O83" s="18" t="n">
        <f aca="false">IF(E83=0,"",N83*12/E83)</f>
        <v>0.470648502409272</v>
      </c>
      <c r="P83" s="12" t="s">
        <v>57</v>
      </c>
      <c r="Q83" s="12" t="s">
        <v>383</v>
      </c>
      <c r="R83" s="12" t="s">
        <v>384</v>
      </c>
    </row>
    <row r="84" customFormat="false" ht="15" hidden="false" customHeight="false" outlineLevel="0" collapsed="false">
      <c r="A84" s="5" t="s">
        <v>385</v>
      </c>
      <c r="B84" s="5" t="s">
        <v>342</v>
      </c>
      <c r="C84" s="5" t="s">
        <v>386</v>
      </c>
      <c r="D84" s="6" t="s">
        <v>164</v>
      </c>
      <c r="E84" s="7" t="n">
        <v>141435</v>
      </c>
      <c r="F84" s="6" t="s">
        <v>295</v>
      </c>
      <c r="G84" s="6" t="n">
        <v>2026</v>
      </c>
      <c r="H84" s="5" t="s">
        <v>62</v>
      </c>
      <c r="I84" s="8" t="n">
        <v>46084</v>
      </c>
      <c r="J84" s="8" t="n">
        <v>46448</v>
      </c>
      <c r="K84" s="6" t="str">
        <f aca="true">IF(J84&gt;=TODAY(),"Vigente","Encerrado")</f>
        <v>Vigente</v>
      </c>
      <c r="L84" s="9" t="n">
        <f aca="false">ROUND((J84-I84)/30.44,1)</f>
        <v>12</v>
      </c>
      <c r="M84" s="10" t="n">
        <v>101300</v>
      </c>
      <c r="N84" s="10" t="n">
        <f aca="false">IF(L84=0,"",M84/L84)</f>
        <v>8441.66666666667</v>
      </c>
      <c r="O84" s="11" t="n">
        <f aca="false">IF(E84=0,"",N84*12/E84)</f>
        <v>0.716230070350338</v>
      </c>
      <c r="P84" s="5" t="s">
        <v>57</v>
      </c>
      <c r="Q84" s="5" t="s">
        <v>387</v>
      </c>
      <c r="R84" s="5" t="s">
        <v>388</v>
      </c>
    </row>
    <row r="85" customFormat="false" ht="15" hidden="false" customHeight="false" outlineLevel="0" collapsed="false">
      <c r="A85" s="12" t="s">
        <v>389</v>
      </c>
      <c r="B85" s="12" t="s">
        <v>342</v>
      </c>
      <c r="C85" s="12" t="s">
        <v>390</v>
      </c>
      <c r="D85" s="13" t="s">
        <v>391</v>
      </c>
      <c r="E85" s="14" t="n">
        <v>628849</v>
      </c>
      <c r="F85" s="13" t="s">
        <v>334</v>
      </c>
      <c r="G85" s="13" t="n">
        <v>2026</v>
      </c>
      <c r="H85" s="12" t="s">
        <v>62</v>
      </c>
      <c r="I85" s="15" t="n">
        <v>46083</v>
      </c>
      <c r="J85" s="15" t="n">
        <v>46448</v>
      </c>
      <c r="K85" s="13" t="str">
        <f aca="true">IF(J85&gt;=TODAY(),"Vigente","Encerrado")</f>
        <v>Vigente</v>
      </c>
      <c r="L85" s="16" t="n">
        <f aca="false">ROUND((J85-I85)/30.44,1)</f>
        <v>12</v>
      </c>
      <c r="M85" s="17" t="n">
        <v>85620</v>
      </c>
      <c r="N85" s="17" t="n">
        <f aca="false">IF(L85=0,"",M85/L85)</f>
        <v>7135</v>
      </c>
      <c r="O85" s="18" t="n">
        <f aca="false">IF(E85=0,"",N85*12/E85)</f>
        <v>0.136153512210403</v>
      </c>
      <c r="P85" s="12" t="s">
        <v>57</v>
      </c>
      <c r="Q85" s="12" t="s">
        <v>392</v>
      </c>
      <c r="R85" s="12" t="s">
        <v>393</v>
      </c>
    </row>
    <row r="86" customFormat="false" ht="15" hidden="false" customHeight="false" outlineLevel="0" collapsed="false">
      <c r="A86" s="5" t="s">
        <v>394</v>
      </c>
      <c r="B86" s="5" t="s">
        <v>395</v>
      </c>
      <c r="C86" s="5" t="s">
        <v>396</v>
      </c>
      <c r="D86" s="6" t="s">
        <v>209</v>
      </c>
      <c r="E86" s="7" t="n">
        <v>11279</v>
      </c>
      <c r="F86" s="6" t="s">
        <v>55</v>
      </c>
      <c r="G86" s="6" t="n">
        <v>2026</v>
      </c>
      <c r="H86" s="5" t="s">
        <v>56</v>
      </c>
      <c r="I86" s="8" t="n">
        <v>46100</v>
      </c>
      <c r="J86" s="8" t="n">
        <v>46465</v>
      </c>
      <c r="K86" s="6" t="str">
        <f aca="true">IF(J86&gt;=TODAY(),"Vigente","Encerrado")</f>
        <v>Vigente</v>
      </c>
      <c r="L86" s="9" t="n">
        <f aca="false">ROUND((J86-I86)/30.44,1)</f>
        <v>12</v>
      </c>
      <c r="M86" s="10" t="n">
        <v>21600</v>
      </c>
      <c r="N86" s="10" t="n">
        <f aca="false">IF(L86=0,"",M86/L86)</f>
        <v>1800</v>
      </c>
      <c r="O86" s="11" t="n">
        <f aca="false">IF(E86=0,"",N86*12/E86)</f>
        <v>1.91506339214469</v>
      </c>
      <c r="P86" s="5" t="s">
        <v>57</v>
      </c>
      <c r="Q86" s="5" t="s">
        <v>397</v>
      </c>
      <c r="R86" s="5" t="s">
        <v>398</v>
      </c>
    </row>
    <row r="87" customFormat="false" ht="15" hidden="false" customHeight="false" outlineLevel="0" collapsed="false">
      <c r="A87" s="12" t="s">
        <v>399</v>
      </c>
      <c r="B87" s="12" t="s">
        <v>395</v>
      </c>
      <c r="C87" s="12" t="s">
        <v>400</v>
      </c>
      <c r="D87" s="13" t="s">
        <v>54</v>
      </c>
      <c r="E87" s="14" t="n">
        <v>57023</v>
      </c>
      <c r="F87" s="13" t="s">
        <v>157</v>
      </c>
      <c r="G87" s="13" t="n">
        <v>2023</v>
      </c>
      <c r="H87" s="12" t="s">
        <v>56</v>
      </c>
      <c r="I87" s="15" t="n">
        <v>44971</v>
      </c>
      <c r="J87" s="15" t="n">
        <v>45336</v>
      </c>
      <c r="K87" s="13" t="str">
        <f aca="true">IF(J87&gt;=TODAY(),"Vigente","Encerrado")</f>
        <v>Encerrado</v>
      </c>
      <c r="L87" s="16" t="n">
        <f aca="false">ROUND((J87-I87)/30.44,1)</f>
        <v>12</v>
      </c>
      <c r="M87" s="17" t="n">
        <v>15600</v>
      </c>
      <c r="N87" s="17" t="n">
        <f aca="false">IF(L87=0,"",M87/L87)</f>
        <v>1300</v>
      </c>
      <c r="O87" s="18" t="n">
        <f aca="false">IF(E87=0,"",N87*12/E87)</f>
        <v>0.273573821089736</v>
      </c>
      <c r="P87" s="12" t="s">
        <v>57</v>
      </c>
      <c r="Q87" s="12" t="s">
        <v>401</v>
      </c>
      <c r="R87" s="12" t="s">
        <v>402</v>
      </c>
    </row>
    <row r="88" customFormat="false" ht="15" hidden="false" customHeight="false" outlineLevel="0" collapsed="false">
      <c r="A88" s="5" t="s">
        <v>403</v>
      </c>
      <c r="B88" s="5" t="s">
        <v>395</v>
      </c>
      <c r="C88" s="5" t="s">
        <v>404</v>
      </c>
      <c r="D88" s="6" t="s">
        <v>81</v>
      </c>
      <c r="E88" s="7" t="n">
        <v>104642</v>
      </c>
      <c r="F88" s="6" t="s">
        <v>295</v>
      </c>
      <c r="G88" s="6" t="n">
        <v>2024</v>
      </c>
      <c r="H88" s="5" t="s">
        <v>56</v>
      </c>
      <c r="I88" s="8" t="n">
        <v>45456</v>
      </c>
      <c r="J88" s="8" t="n">
        <v>45820</v>
      </c>
      <c r="K88" s="6" t="str">
        <f aca="true">IF(J88&gt;=TODAY(),"Vigente","Encerrado")</f>
        <v>Encerrado</v>
      </c>
      <c r="L88" s="9" t="n">
        <f aca="false">ROUND((J88-I88)/30.44,1)</f>
        <v>12</v>
      </c>
      <c r="M88" s="10" t="n">
        <v>28800</v>
      </c>
      <c r="N88" s="10" t="n">
        <f aca="false">IF(L88=0,"",M88/L88)</f>
        <v>2400</v>
      </c>
      <c r="O88" s="11" t="n">
        <f aca="false">IF(E88=0,"",N88*12/E88)</f>
        <v>0.27522409739875</v>
      </c>
      <c r="P88" s="5" t="s">
        <v>57</v>
      </c>
      <c r="Q88" s="5" t="s">
        <v>405</v>
      </c>
      <c r="R88" s="5" t="s">
        <v>406</v>
      </c>
    </row>
    <row r="89" customFormat="false" ht="15" hidden="false" customHeight="false" outlineLevel="0" collapsed="false">
      <c r="A89" s="12" t="s">
        <v>407</v>
      </c>
      <c r="B89" s="12" t="s">
        <v>395</v>
      </c>
      <c r="C89" s="12" t="s">
        <v>408</v>
      </c>
      <c r="D89" s="13" t="s">
        <v>81</v>
      </c>
      <c r="E89" s="14" t="n">
        <v>300728</v>
      </c>
      <c r="F89" s="13" t="s">
        <v>295</v>
      </c>
      <c r="G89" s="13" t="n">
        <v>2026</v>
      </c>
      <c r="H89" s="12" t="s">
        <v>62</v>
      </c>
      <c r="I89" s="15" t="n">
        <v>46174</v>
      </c>
      <c r="J89" s="15" t="n">
        <v>48000</v>
      </c>
      <c r="K89" s="13" t="str">
        <f aca="true">IF(J89&gt;=TODAY(),"Vigente","Encerrado")</f>
        <v>Vigente</v>
      </c>
      <c r="L89" s="16" t="n">
        <f aca="false">ROUND((J89-I89)/30.44,1)</f>
        <v>60</v>
      </c>
      <c r="M89" s="17" t="n">
        <v>198499.8</v>
      </c>
      <c r="N89" s="17" t="n">
        <f aca="false">IF(L89=0,"",M89/L89)</f>
        <v>3308.33</v>
      </c>
      <c r="O89" s="18" t="n">
        <f aca="false">IF(E89=0,"",N89*12/E89)</f>
        <v>0.132012848820196</v>
      </c>
      <c r="P89" s="12" t="s">
        <v>57</v>
      </c>
      <c r="Q89" s="12" t="s">
        <v>409</v>
      </c>
      <c r="R89" s="12" t="s">
        <v>410</v>
      </c>
    </row>
    <row r="90" customFormat="false" ht="15" hidden="false" customHeight="false" outlineLevel="0" collapsed="false">
      <c r="A90" s="5" t="s">
        <v>394</v>
      </c>
      <c r="B90" s="5" t="s">
        <v>395</v>
      </c>
      <c r="C90" s="5" t="s">
        <v>411</v>
      </c>
      <c r="D90" s="6" t="s">
        <v>209</v>
      </c>
      <c r="E90" s="7" t="n">
        <v>102500</v>
      </c>
      <c r="F90" s="6" t="s">
        <v>295</v>
      </c>
      <c r="G90" s="6" t="n">
        <v>2025</v>
      </c>
      <c r="H90" s="5" t="s">
        <v>62</v>
      </c>
      <c r="I90" s="8" t="n">
        <v>46006</v>
      </c>
      <c r="J90" s="8" t="n">
        <v>46371</v>
      </c>
      <c r="K90" s="6" t="str">
        <f aca="true">IF(J90&gt;=TODAY(),"Vigente","Encerrado")</f>
        <v>Vigente</v>
      </c>
      <c r="L90" s="9" t="n">
        <f aca="false">ROUND((J90-I90)/30.44,1)</f>
        <v>12</v>
      </c>
      <c r="M90" s="10" t="n">
        <v>48000</v>
      </c>
      <c r="N90" s="10" t="n">
        <f aca="false">IF(L90=0,"",M90/L90)</f>
        <v>4000</v>
      </c>
      <c r="O90" s="11" t="n">
        <f aca="false">IF(E90=0,"",N90*12/E90)</f>
        <v>0.468292682926829</v>
      </c>
      <c r="P90" s="5" t="s">
        <v>57</v>
      </c>
      <c r="Q90" s="5" t="s">
        <v>412</v>
      </c>
      <c r="R90" s="5" t="s">
        <v>413</v>
      </c>
    </row>
    <row r="91" customFormat="false" ht="15" hidden="false" customHeight="false" outlineLevel="0" collapsed="false">
      <c r="A91" s="12" t="s">
        <v>414</v>
      </c>
      <c r="B91" s="12" t="s">
        <v>395</v>
      </c>
      <c r="C91" s="12" t="s">
        <v>378</v>
      </c>
      <c r="D91" s="13" t="s">
        <v>54</v>
      </c>
      <c r="E91" s="14" t="n">
        <v>195753</v>
      </c>
      <c r="F91" s="13" t="s">
        <v>295</v>
      </c>
      <c r="G91" s="13" t="n">
        <v>2024</v>
      </c>
      <c r="H91" s="12" t="s">
        <v>56</v>
      </c>
      <c r="I91" s="15" t="n">
        <v>45596</v>
      </c>
      <c r="J91" s="15" t="n">
        <v>45960</v>
      </c>
      <c r="K91" s="13" t="str">
        <f aca="true">IF(J91&gt;=TODAY(),"Vigente","Encerrado")</f>
        <v>Encerrado</v>
      </c>
      <c r="L91" s="16" t="n">
        <f aca="false">ROUND((J91-I91)/30.44,1)</f>
        <v>12</v>
      </c>
      <c r="M91" s="17" t="n">
        <v>51269.6</v>
      </c>
      <c r="N91" s="17" t="n">
        <f aca="false">IF(L91=0,"",M91/L91)</f>
        <v>4272.46666666667</v>
      </c>
      <c r="O91" s="18" t="n">
        <f aca="false">IF(E91=0,"",N91*12/E91)</f>
        <v>0.261909651448509</v>
      </c>
      <c r="P91" s="12" t="s">
        <v>57</v>
      </c>
      <c r="Q91" s="12" t="s">
        <v>415</v>
      </c>
      <c r="R91" s="12" t="s">
        <v>416</v>
      </c>
    </row>
    <row r="92" customFormat="false" ht="15" hidden="false" customHeight="false" outlineLevel="0" collapsed="false">
      <c r="A92" s="5" t="s">
        <v>403</v>
      </c>
      <c r="B92" s="5" t="s">
        <v>395</v>
      </c>
      <c r="C92" s="5" t="s">
        <v>404</v>
      </c>
      <c r="D92" s="6" t="s">
        <v>81</v>
      </c>
      <c r="E92" s="7" t="n">
        <v>104642</v>
      </c>
      <c r="F92" s="6" t="s">
        <v>295</v>
      </c>
      <c r="G92" s="6" t="n">
        <v>2025</v>
      </c>
      <c r="H92" s="5" t="s">
        <v>62</v>
      </c>
      <c r="I92" s="8" t="n">
        <v>45950</v>
      </c>
      <c r="J92" s="8" t="n">
        <v>46314</v>
      </c>
      <c r="K92" s="6" t="str">
        <f aca="true">IF(J92&gt;=TODAY(),"Vigente","Encerrado")</f>
        <v>Vigente</v>
      </c>
      <c r="L92" s="9" t="n">
        <f aca="false">ROUND((J92-I92)/30.44,1)</f>
        <v>12</v>
      </c>
      <c r="M92" s="10" t="n">
        <v>52800</v>
      </c>
      <c r="N92" s="10" t="n">
        <f aca="false">IF(L92=0,"",M92/L92)</f>
        <v>4400</v>
      </c>
      <c r="O92" s="11" t="n">
        <f aca="false">IF(E92=0,"",N92*12/E92)</f>
        <v>0.504577511897708</v>
      </c>
      <c r="P92" s="5" t="s">
        <v>57</v>
      </c>
      <c r="Q92" s="5" t="s">
        <v>417</v>
      </c>
      <c r="R92" s="5" t="s">
        <v>418</v>
      </c>
    </row>
    <row r="93" customFormat="false" ht="15" hidden="false" customHeight="false" outlineLevel="0" collapsed="false">
      <c r="A93" s="12" t="s">
        <v>419</v>
      </c>
      <c r="B93" s="12" t="s">
        <v>395</v>
      </c>
      <c r="C93" s="12" t="s">
        <v>420</v>
      </c>
      <c r="D93" s="13" t="s">
        <v>209</v>
      </c>
      <c r="E93" s="14" t="n">
        <v>266649</v>
      </c>
      <c r="F93" s="13" t="s">
        <v>295</v>
      </c>
      <c r="G93" s="13" t="n">
        <v>2025</v>
      </c>
      <c r="H93" s="12" t="s">
        <v>62</v>
      </c>
      <c r="I93" s="15" t="n">
        <v>45979</v>
      </c>
      <c r="J93" s="15" t="n">
        <v>46345</v>
      </c>
      <c r="K93" s="13" t="str">
        <f aca="true">IF(J93&gt;=TODAY(),"Vigente","Encerrado")</f>
        <v>Vigente</v>
      </c>
      <c r="L93" s="16" t="n">
        <f aca="false">ROUND((J93-I93)/30.44,1)</f>
        <v>12</v>
      </c>
      <c r="M93" s="17" t="n">
        <v>54000</v>
      </c>
      <c r="N93" s="17" t="n">
        <f aca="false">IF(L93=0,"",M93/L93)</f>
        <v>4500</v>
      </c>
      <c r="O93" s="18" t="n">
        <f aca="false">IF(E93=0,"",N93*12/E93)</f>
        <v>0.202513416513844</v>
      </c>
      <c r="P93" s="12" t="s">
        <v>57</v>
      </c>
      <c r="Q93" s="12" t="s">
        <v>421</v>
      </c>
      <c r="R93" s="12" t="s">
        <v>422</v>
      </c>
    </row>
    <row r="94" customFormat="false" ht="15" hidden="false" customHeight="false" outlineLevel="0" collapsed="false">
      <c r="A94" s="5" t="s">
        <v>423</v>
      </c>
      <c r="B94" s="5" t="s">
        <v>395</v>
      </c>
      <c r="C94" s="5" t="s">
        <v>424</v>
      </c>
      <c r="D94" s="6" t="s">
        <v>209</v>
      </c>
      <c r="E94" s="7" t="n">
        <v>2416339</v>
      </c>
      <c r="F94" s="6" t="s">
        <v>334</v>
      </c>
      <c r="G94" s="6" t="n">
        <v>2026</v>
      </c>
      <c r="H94" s="5" t="s">
        <v>56</v>
      </c>
      <c r="I94" s="8" t="n">
        <v>46227</v>
      </c>
      <c r="J94" s="8" t="n">
        <v>46410</v>
      </c>
      <c r="K94" s="6" t="str">
        <f aca="true">IF(J94&gt;=TODAY(),"Vigente","Encerrado")</f>
        <v>Vigente</v>
      </c>
      <c r="L94" s="9" t="n">
        <f aca="false">ROUND((J94-I94)/30.44,1)</f>
        <v>6</v>
      </c>
      <c r="M94" s="10" t="n">
        <v>34800</v>
      </c>
      <c r="N94" s="10" t="n">
        <f aca="false">IF(L94=0,"",M94/L94)</f>
        <v>5800</v>
      </c>
      <c r="O94" s="11" t="n">
        <f aca="false">IF(E94=0,"",N94*12/E94)</f>
        <v>0.0288039054122787</v>
      </c>
      <c r="P94" s="5" t="s">
        <v>57</v>
      </c>
      <c r="Q94" s="5" t="s">
        <v>425</v>
      </c>
      <c r="R94" s="5" t="s">
        <v>426</v>
      </c>
    </row>
    <row r="95" customFormat="false" ht="15" hidden="false" customHeight="false" outlineLevel="0" collapsed="false">
      <c r="A95" s="12" t="s">
        <v>427</v>
      </c>
      <c r="B95" s="12" t="s">
        <v>395</v>
      </c>
      <c r="C95" s="12" t="s">
        <v>428</v>
      </c>
      <c r="D95" s="13" t="s">
        <v>54</v>
      </c>
      <c r="E95" s="14" t="n">
        <v>576361</v>
      </c>
      <c r="F95" s="13" t="s">
        <v>334</v>
      </c>
      <c r="G95" s="13" t="n">
        <v>2026</v>
      </c>
      <c r="H95" s="12" t="s">
        <v>62</v>
      </c>
      <c r="I95" s="15" t="n">
        <v>46204</v>
      </c>
      <c r="J95" s="15" t="n">
        <v>46568</v>
      </c>
      <c r="K95" s="13" t="str">
        <f aca="true">IF(J95&gt;=TODAY(),"Vigente","Encerrado")</f>
        <v>Vigente</v>
      </c>
      <c r="L95" s="16" t="n">
        <f aca="false">ROUND((J95-I95)/30.44,1)</f>
        <v>12</v>
      </c>
      <c r="M95" s="17" t="n">
        <v>161199.96</v>
      </c>
      <c r="N95" s="17" t="n">
        <f aca="false">IF(L95=0,"",M95/L95)</f>
        <v>13433.33</v>
      </c>
      <c r="O95" s="18" t="n">
        <f aca="false">IF(E95=0,"",N95*12/E95)</f>
        <v>0.279685752505808</v>
      </c>
      <c r="P95" s="12" t="s">
        <v>57</v>
      </c>
      <c r="Q95" s="12" t="s">
        <v>429</v>
      </c>
      <c r="R95" s="12" t="s">
        <v>430</v>
      </c>
    </row>
    <row r="96" customFormat="false" ht="15" hidden="false" customHeight="false" outlineLevel="0" collapsed="false">
      <c r="A96" s="5" t="s">
        <v>431</v>
      </c>
      <c r="B96" s="5" t="s">
        <v>432</v>
      </c>
      <c r="C96" s="5" t="s">
        <v>433</v>
      </c>
      <c r="D96" s="6" t="s">
        <v>104</v>
      </c>
      <c r="E96" s="7" t="n">
        <v>16126</v>
      </c>
      <c r="F96" s="6" t="s">
        <v>55</v>
      </c>
      <c r="G96" s="6" t="n">
        <v>2025</v>
      </c>
      <c r="H96" s="5" t="s">
        <v>62</v>
      </c>
      <c r="I96" s="8" t="n">
        <v>45727</v>
      </c>
      <c r="J96" s="8" t="n">
        <v>46091</v>
      </c>
      <c r="K96" s="6" t="str">
        <f aca="true">IF(J96&gt;=TODAY(),"Vigente","Encerrado")</f>
        <v>Encerrado</v>
      </c>
      <c r="L96" s="9" t="n">
        <f aca="false">ROUND((J96-I96)/30.44,1)</f>
        <v>12</v>
      </c>
      <c r="M96" s="10" t="n">
        <v>3240</v>
      </c>
      <c r="N96" s="10" t="n">
        <f aca="false">IF(L96=0,"",M96/L96)</f>
        <v>270</v>
      </c>
      <c r="O96" s="11" t="n">
        <f aca="false">IF(E96=0,"",N96*12/E96)</f>
        <v>0.200917772541238</v>
      </c>
      <c r="P96" s="5" t="s">
        <v>57</v>
      </c>
      <c r="Q96" s="5" t="s">
        <v>434</v>
      </c>
      <c r="R96" s="5" t="s">
        <v>435</v>
      </c>
    </row>
    <row r="97" customFormat="false" ht="15" hidden="false" customHeight="false" outlineLevel="0" collapsed="false">
      <c r="A97" s="12" t="s">
        <v>431</v>
      </c>
      <c r="B97" s="12" t="s">
        <v>432</v>
      </c>
      <c r="C97" s="12" t="s">
        <v>433</v>
      </c>
      <c r="D97" s="13" t="s">
        <v>104</v>
      </c>
      <c r="E97" s="14" t="n">
        <v>16126</v>
      </c>
      <c r="F97" s="13" t="s">
        <v>55</v>
      </c>
      <c r="G97" s="13" t="n">
        <v>2025</v>
      </c>
      <c r="H97" s="12" t="s">
        <v>62</v>
      </c>
      <c r="I97" s="15" t="n">
        <v>45734</v>
      </c>
      <c r="J97" s="15" t="n">
        <v>46098</v>
      </c>
      <c r="K97" s="13" t="str">
        <f aca="true">IF(J97&gt;=TODAY(),"Vigente","Encerrado")</f>
        <v>Encerrado</v>
      </c>
      <c r="L97" s="16" t="n">
        <f aca="false">ROUND((J97-I97)/30.44,1)</f>
        <v>12</v>
      </c>
      <c r="M97" s="17" t="n">
        <v>3240</v>
      </c>
      <c r="N97" s="17" t="n">
        <f aca="false">IF(L97=0,"",M97/L97)</f>
        <v>270</v>
      </c>
      <c r="O97" s="18" t="n">
        <f aca="false">IF(E97=0,"",N97*12/E97)</f>
        <v>0.200917772541238</v>
      </c>
      <c r="P97" s="12" t="s">
        <v>57</v>
      </c>
      <c r="Q97" s="12" t="s">
        <v>434</v>
      </c>
      <c r="R97" s="12" t="s">
        <v>436</v>
      </c>
    </row>
    <row r="98" customFormat="false" ht="15" hidden="false" customHeight="false" outlineLevel="0" collapsed="false">
      <c r="A98" s="5" t="s">
        <v>437</v>
      </c>
      <c r="B98" s="5" t="s">
        <v>432</v>
      </c>
      <c r="C98" s="5" t="s">
        <v>438</v>
      </c>
      <c r="D98" s="6" t="s">
        <v>209</v>
      </c>
      <c r="E98" s="7" t="n">
        <v>11169</v>
      </c>
      <c r="F98" s="6" t="s">
        <v>55</v>
      </c>
      <c r="G98" s="6" t="n">
        <v>2025</v>
      </c>
      <c r="H98" s="5" t="s">
        <v>56</v>
      </c>
      <c r="I98" s="8" t="n">
        <v>46027</v>
      </c>
      <c r="J98" s="8" t="n">
        <v>46387</v>
      </c>
      <c r="K98" s="6" t="str">
        <f aca="true">IF(J98&gt;=TODAY(),"Vigente","Encerrado")</f>
        <v>Vigente</v>
      </c>
      <c r="L98" s="9" t="n">
        <f aca="false">ROUND((J98-I98)/30.44,1)</f>
        <v>11.8</v>
      </c>
      <c r="M98" s="10" t="n">
        <v>27000</v>
      </c>
      <c r="N98" s="10" t="n">
        <f aca="false">IF(L98=0,"",M98/L98)</f>
        <v>2288.13559322034</v>
      </c>
      <c r="O98" s="11" t="n">
        <f aca="false">IF(E98=0,"",N98*12/E98)</f>
        <v>2.45837828978817</v>
      </c>
      <c r="P98" s="5" t="s">
        <v>57</v>
      </c>
      <c r="Q98" s="5" t="s">
        <v>439</v>
      </c>
      <c r="R98" s="5" t="s">
        <v>440</v>
      </c>
    </row>
    <row r="99" customFormat="false" ht="15" hidden="false" customHeight="false" outlineLevel="0" collapsed="false">
      <c r="A99" s="12" t="s">
        <v>441</v>
      </c>
      <c r="B99" s="12" t="s">
        <v>432</v>
      </c>
      <c r="C99" s="12" t="s">
        <v>442</v>
      </c>
      <c r="D99" s="13" t="s">
        <v>76</v>
      </c>
      <c r="E99" s="14" t="n">
        <v>66110</v>
      </c>
      <c r="F99" s="13" t="s">
        <v>157</v>
      </c>
      <c r="G99" s="13" t="n">
        <v>2025</v>
      </c>
      <c r="H99" s="12" t="s">
        <v>128</v>
      </c>
      <c r="I99" s="15" t="n">
        <v>45807</v>
      </c>
      <c r="J99" s="15" t="n">
        <v>46172</v>
      </c>
      <c r="K99" s="13" t="str">
        <f aca="true">IF(J99&gt;=TODAY(),"Vigente","Encerrado")</f>
        <v>Encerrado</v>
      </c>
      <c r="L99" s="16" t="n">
        <f aca="false">ROUND((J99-I99)/30.44,1)</f>
        <v>12</v>
      </c>
      <c r="M99" s="17" t="n">
        <v>5400</v>
      </c>
      <c r="N99" s="17" t="n">
        <f aca="false">IF(L99=0,"",M99/L99)</f>
        <v>450</v>
      </c>
      <c r="O99" s="18" t="n">
        <f aca="false">IF(E99=0,"",N99*12/E99)</f>
        <v>0.0816820450763878</v>
      </c>
      <c r="P99" s="12" t="s">
        <v>57</v>
      </c>
      <c r="Q99" s="12" t="s">
        <v>443</v>
      </c>
      <c r="R99" s="12" t="s">
        <v>444</v>
      </c>
    </row>
    <row r="100" customFormat="false" ht="15" hidden="false" customHeight="false" outlineLevel="0" collapsed="false">
      <c r="A100" s="5" t="s">
        <v>441</v>
      </c>
      <c r="B100" s="5" t="s">
        <v>432</v>
      </c>
      <c r="C100" s="5" t="s">
        <v>442</v>
      </c>
      <c r="D100" s="6" t="s">
        <v>76</v>
      </c>
      <c r="E100" s="7" t="n">
        <v>66110</v>
      </c>
      <c r="F100" s="6" t="s">
        <v>157</v>
      </c>
      <c r="G100" s="6" t="n">
        <v>2026</v>
      </c>
      <c r="H100" s="5" t="s">
        <v>62</v>
      </c>
      <c r="I100" s="8" t="n">
        <v>46181</v>
      </c>
      <c r="J100" s="8" t="n">
        <v>46546</v>
      </c>
      <c r="K100" s="6" t="str">
        <f aca="true">IF(J100&gt;=TODAY(),"Vigente","Encerrado")</f>
        <v>Vigente</v>
      </c>
      <c r="L100" s="9" t="n">
        <f aca="false">ROUND((J100-I100)/30.44,1)</f>
        <v>12</v>
      </c>
      <c r="M100" s="10" t="n">
        <v>5400</v>
      </c>
      <c r="N100" s="10" t="n">
        <f aca="false">IF(L100=0,"",M100/L100)</f>
        <v>450</v>
      </c>
      <c r="O100" s="11" t="n">
        <f aca="false">IF(E100=0,"",N100*12/E100)</f>
        <v>0.0816820450763878</v>
      </c>
      <c r="P100" s="5" t="s">
        <v>57</v>
      </c>
      <c r="Q100" s="5" t="s">
        <v>443</v>
      </c>
      <c r="R100" s="5" t="s">
        <v>445</v>
      </c>
    </row>
    <row r="101" customFormat="false" ht="15" hidden="false" customHeight="false" outlineLevel="0" collapsed="false">
      <c r="A101" s="12" t="s">
        <v>446</v>
      </c>
      <c r="B101" s="12" t="s">
        <v>432</v>
      </c>
      <c r="C101" s="12" t="s">
        <v>447</v>
      </c>
      <c r="D101" s="13" t="s">
        <v>54</v>
      </c>
      <c r="E101" s="14" t="n">
        <v>25770</v>
      </c>
      <c r="F101" s="13" t="s">
        <v>157</v>
      </c>
      <c r="G101" s="13" t="n">
        <v>2025</v>
      </c>
      <c r="H101" s="12" t="s">
        <v>56</v>
      </c>
      <c r="I101" s="15" t="n">
        <v>45717</v>
      </c>
      <c r="J101" s="15" t="n">
        <v>46022</v>
      </c>
      <c r="K101" s="13" t="str">
        <f aca="true">IF(J101&gt;=TODAY(),"Vigente","Encerrado")</f>
        <v>Encerrado</v>
      </c>
      <c r="L101" s="16" t="n">
        <f aca="false">ROUND((J101-I101)/30.44,1)</f>
        <v>10</v>
      </c>
      <c r="M101" s="17" t="n">
        <v>13000</v>
      </c>
      <c r="N101" s="17" t="n">
        <f aca="false">IF(L101=0,"",M101/L101)</f>
        <v>1300</v>
      </c>
      <c r="O101" s="18" t="n">
        <f aca="false">IF(E101=0,"",N101*12/E101)</f>
        <v>0.60535506402794</v>
      </c>
      <c r="P101" s="12" t="s">
        <v>57</v>
      </c>
      <c r="Q101" s="12" t="s">
        <v>448</v>
      </c>
      <c r="R101" s="12" t="s">
        <v>449</v>
      </c>
    </row>
    <row r="102" customFormat="false" ht="15" hidden="false" customHeight="false" outlineLevel="0" collapsed="false">
      <c r="A102" s="5" t="s">
        <v>450</v>
      </c>
      <c r="B102" s="5" t="s">
        <v>432</v>
      </c>
      <c r="C102" s="5" t="s">
        <v>451</v>
      </c>
      <c r="D102" s="6" t="s">
        <v>209</v>
      </c>
      <c r="E102" s="7" t="n">
        <v>79221</v>
      </c>
      <c r="F102" s="6" t="s">
        <v>157</v>
      </c>
      <c r="G102" s="6" t="n">
        <v>2026</v>
      </c>
      <c r="H102" s="5" t="s">
        <v>62</v>
      </c>
      <c r="I102" s="8" t="n">
        <v>46245</v>
      </c>
      <c r="J102" s="8" t="n">
        <v>46610</v>
      </c>
      <c r="K102" s="6" t="str">
        <f aca="true">IF(J102&gt;=TODAY(),"Vigente","Encerrado")</f>
        <v>Vigente</v>
      </c>
      <c r="L102" s="9" t="n">
        <f aca="false">ROUND((J102-I102)/30.44,1)</f>
        <v>12</v>
      </c>
      <c r="M102" s="10" t="n">
        <v>16200</v>
      </c>
      <c r="N102" s="10" t="n">
        <f aca="false">IF(L102=0,"",M102/L102)</f>
        <v>1350</v>
      </c>
      <c r="O102" s="11" t="n">
        <f aca="false">IF(E102=0,"",N102*12/E102)</f>
        <v>0.204491233385087</v>
      </c>
      <c r="P102" s="5" t="s">
        <v>57</v>
      </c>
      <c r="Q102" s="5" t="s">
        <v>452</v>
      </c>
      <c r="R102" s="5" t="s">
        <v>453</v>
      </c>
    </row>
    <row r="103" customFormat="false" ht="15" hidden="false" customHeight="false" outlineLevel="0" collapsed="false">
      <c r="A103" s="12" t="s">
        <v>454</v>
      </c>
      <c r="B103" s="12" t="s">
        <v>432</v>
      </c>
      <c r="C103" s="12" t="s">
        <v>455</v>
      </c>
      <c r="D103" s="13" t="s">
        <v>209</v>
      </c>
      <c r="E103" s="14" t="n">
        <v>23161</v>
      </c>
      <c r="F103" s="13" t="s">
        <v>157</v>
      </c>
      <c r="G103" s="13" t="n">
        <v>2024</v>
      </c>
      <c r="H103" s="12" t="s">
        <v>56</v>
      </c>
      <c r="I103" s="15" t="n">
        <v>45405</v>
      </c>
      <c r="J103" s="15" t="n">
        <v>45769</v>
      </c>
      <c r="K103" s="13" t="str">
        <f aca="true">IF(J103&gt;=TODAY(),"Vigente","Encerrado")</f>
        <v>Encerrado</v>
      </c>
      <c r="L103" s="16" t="n">
        <f aca="false">ROUND((J103-I103)/30.44,1)</f>
        <v>12</v>
      </c>
      <c r="M103" s="17" t="n">
        <v>21600</v>
      </c>
      <c r="N103" s="17" t="n">
        <f aca="false">IF(L103=0,"",M103/L103)</f>
        <v>1800</v>
      </c>
      <c r="O103" s="18" t="n">
        <f aca="false">IF(E103=0,"",N103*12/E103)</f>
        <v>0.932602219247874</v>
      </c>
      <c r="P103" s="12" t="s">
        <v>57</v>
      </c>
      <c r="Q103" s="12" t="s">
        <v>456</v>
      </c>
      <c r="R103" s="12" t="s">
        <v>457</v>
      </c>
    </row>
    <row r="104" customFormat="false" ht="15" hidden="false" customHeight="false" outlineLevel="0" collapsed="false">
      <c r="A104" s="5" t="s">
        <v>458</v>
      </c>
      <c r="B104" s="5" t="s">
        <v>432</v>
      </c>
      <c r="C104" s="5" t="s">
        <v>459</v>
      </c>
      <c r="D104" s="6" t="s">
        <v>67</v>
      </c>
      <c r="E104" s="7" t="n">
        <v>33529</v>
      </c>
      <c r="F104" s="6" t="s">
        <v>157</v>
      </c>
      <c r="G104" s="6" t="n">
        <v>2024</v>
      </c>
      <c r="H104" s="5" t="s">
        <v>56</v>
      </c>
      <c r="I104" s="8" t="n">
        <v>45530</v>
      </c>
      <c r="J104" s="8" t="n">
        <v>45895</v>
      </c>
      <c r="K104" s="6" t="str">
        <f aca="true">IF(J104&gt;=TODAY(),"Vigente","Encerrado")</f>
        <v>Encerrado</v>
      </c>
      <c r="L104" s="9" t="n">
        <f aca="false">ROUND((J104-I104)/30.44,1)</f>
        <v>12</v>
      </c>
      <c r="M104" s="10" t="n">
        <v>25200</v>
      </c>
      <c r="N104" s="10" t="n">
        <f aca="false">IF(L104=0,"",M104/L104)</f>
        <v>2100</v>
      </c>
      <c r="O104" s="11" t="n">
        <f aca="false">IF(E104=0,"",N104*12/E104)</f>
        <v>0.75158817739867</v>
      </c>
      <c r="P104" s="5" t="s">
        <v>57</v>
      </c>
      <c r="Q104" s="5" t="s">
        <v>460</v>
      </c>
      <c r="R104" s="5" t="s">
        <v>461</v>
      </c>
    </row>
    <row r="105" customFormat="false" ht="15" hidden="false" customHeight="false" outlineLevel="0" collapsed="false">
      <c r="A105" s="12" t="s">
        <v>462</v>
      </c>
      <c r="B105" s="12" t="s">
        <v>432</v>
      </c>
      <c r="C105" s="12" t="s">
        <v>250</v>
      </c>
      <c r="D105" s="13" t="s">
        <v>54</v>
      </c>
      <c r="E105" s="14" t="n">
        <v>46969</v>
      </c>
      <c r="F105" s="13" t="s">
        <v>157</v>
      </c>
      <c r="G105" s="13" t="n">
        <v>2023</v>
      </c>
      <c r="H105" s="12" t="s">
        <v>56</v>
      </c>
      <c r="I105" s="15" t="n">
        <v>45108</v>
      </c>
      <c r="J105" s="15" t="n">
        <v>45473</v>
      </c>
      <c r="K105" s="13" t="str">
        <f aca="true">IF(J105&gt;=TODAY(),"Vigente","Encerrado")</f>
        <v>Encerrado</v>
      </c>
      <c r="L105" s="16" t="n">
        <f aca="false">ROUND((J105-I105)/30.44,1)</f>
        <v>12</v>
      </c>
      <c r="M105" s="17" t="n">
        <v>51022.56</v>
      </c>
      <c r="N105" s="17" t="n">
        <f aca="false">IF(L105=0,"",M105/L105)</f>
        <v>4251.88</v>
      </c>
      <c r="O105" s="18" t="n">
        <f aca="false">IF(E105=0,"",N105*12/E105)</f>
        <v>1.08630288062339</v>
      </c>
      <c r="P105" s="12" t="s">
        <v>57</v>
      </c>
      <c r="Q105" s="12" t="s">
        <v>463</v>
      </c>
      <c r="R105" s="12" t="s">
        <v>464</v>
      </c>
    </row>
    <row r="106" customFormat="false" ht="15" hidden="false" customHeight="false" outlineLevel="0" collapsed="false">
      <c r="A106" s="5" t="s">
        <v>462</v>
      </c>
      <c r="B106" s="5" t="s">
        <v>432</v>
      </c>
      <c r="C106" s="5" t="s">
        <v>250</v>
      </c>
      <c r="D106" s="6" t="s">
        <v>54</v>
      </c>
      <c r="E106" s="7" t="n">
        <v>46969</v>
      </c>
      <c r="F106" s="6" t="s">
        <v>157</v>
      </c>
      <c r="G106" s="6" t="n">
        <v>2025</v>
      </c>
      <c r="H106" s="5" t="s">
        <v>56</v>
      </c>
      <c r="I106" s="8" t="n">
        <v>46024</v>
      </c>
      <c r="J106" s="8" t="n">
        <v>46388</v>
      </c>
      <c r="K106" s="6" t="str">
        <f aca="true">IF(J106&gt;=TODAY(),"Vigente","Encerrado")</f>
        <v>Vigente</v>
      </c>
      <c r="L106" s="9" t="n">
        <f aca="false">ROUND((J106-I106)/30.44,1)</f>
        <v>12</v>
      </c>
      <c r="M106" s="10" t="n">
        <v>76156.56</v>
      </c>
      <c r="N106" s="10" t="n">
        <f aca="false">IF(L106=0,"",M106/L106)</f>
        <v>6346.38</v>
      </c>
      <c r="O106" s="11" t="n">
        <f aca="false">IF(E106=0,"",N106*12/E106)</f>
        <v>1.62142178883945</v>
      </c>
      <c r="P106" s="5" t="s">
        <v>57</v>
      </c>
      <c r="Q106" s="5" t="s">
        <v>465</v>
      </c>
      <c r="R106" s="5" t="s">
        <v>466</v>
      </c>
    </row>
    <row r="107" customFormat="false" ht="15" hidden="false" customHeight="false" outlineLevel="0" collapsed="false">
      <c r="A107" s="12" t="s">
        <v>467</v>
      </c>
      <c r="B107" s="12" t="s">
        <v>432</v>
      </c>
      <c r="C107" s="12" t="s">
        <v>468</v>
      </c>
      <c r="D107" s="13" t="s">
        <v>54</v>
      </c>
      <c r="E107" s="14" t="n">
        <v>275959</v>
      </c>
      <c r="F107" s="13" t="s">
        <v>295</v>
      </c>
      <c r="G107" s="13" t="n">
        <v>2024</v>
      </c>
      <c r="H107" s="12" t="s">
        <v>56</v>
      </c>
      <c r="I107" s="15" t="n">
        <v>45659</v>
      </c>
      <c r="J107" s="15" t="n">
        <v>46022</v>
      </c>
      <c r="K107" s="13" t="str">
        <f aca="true">IF(J107&gt;=TODAY(),"Vigente","Encerrado")</f>
        <v>Encerrado</v>
      </c>
      <c r="L107" s="16" t="n">
        <f aca="false">ROUND((J107-I107)/30.44,1)</f>
        <v>11.9</v>
      </c>
      <c r="M107" s="17" t="n">
        <v>7560</v>
      </c>
      <c r="N107" s="17" t="n">
        <f aca="false">IF(L107=0,"",M107/L107)</f>
        <v>635.294117647059</v>
      </c>
      <c r="O107" s="18" t="n">
        <f aca="false">IF(E107=0,"",N107*12/E107)</f>
        <v>0.0276255871769528</v>
      </c>
      <c r="P107" s="12" t="s">
        <v>57</v>
      </c>
      <c r="Q107" s="12" t="s">
        <v>469</v>
      </c>
      <c r="R107" s="12" t="s">
        <v>470</v>
      </c>
    </row>
    <row r="108" customFormat="false" ht="15" hidden="false" customHeight="false" outlineLevel="0" collapsed="false">
      <c r="A108" s="5" t="s">
        <v>471</v>
      </c>
      <c r="B108" s="5" t="s">
        <v>432</v>
      </c>
      <c r="C108" s="5" t="s">
        <v>472</v>
      </c>
      <c r="D108" s="6" t="s">
        <v>209</v>
      </c>
      <c r="E108" s="7" t="n">
        <v>434321</v>
      </c>
      <c r="F108" s="6" t="s">
        <v>295</v>
      </c>
      <c r="G108" s="6" t="n">
        <v>2026</v>
      </c>
      <c r="H108" s="5" t="s">
        <v>56</v>
      </c>
      <c r="I108" s="8" t="n">
        <v>46205</v>
      </c>
      <c r="J108" s="8" t="n">
        <v>46570</v>
      </c>
      <c r="K108" s="6" t="str">
        <f aca="true">IF(J108&gt;=TODAY(),"Vigente","Encerrado")</f>
        <v>Vigente</v>
      </c>
      <c r="L108" s="9" t="n">
        <f aca="false">ROUND((J108-I108)/30.44,1)</f>
        <v>12</v>
      </c>
      <c r="M108" s="10" t="n">
        <v>28800</v>
      </c>
      <c r="N108" s="10" t="n">
        <f aca="false">IF(L108=0,"",M108/L108)</f>
        <v>2400</v>
      </c>
      <c r="O108" s="11" t="n">
        <f aca="false">IF(E108=0,"",N108*12/E108)</f>
        <v>0.0663104017535417</v>
      </c>
      <c r="P108" s="5" t="s">
        <v>57</v>
      </c>
      <c r="Q108" s="5" t="s">
        <v>473</v>
      </c>
      <c r="R108" s="5" t="s">
        <v>474</v>
      </c>
    </row>
    <row r="109" customFormat="false" ht="15" hidden="false" customHeight="false" outlineLevel="0" collapsed="false">
      <c r="A109" s="12" t="s">
        <v>475</v>
      </c>
      <c r="B109" s="12" t="s">
        <v>432</v>
      </c>
      <c r="C109" s="12" t="s">
        <v>472</v>
      </c>
      <c r="D109" s="13" t="s">
        <v>209</v>
      </c>
      <c r="E109" s="14" t="n">
        <v>434321</v>
      </c>
      <c r="F109" s="13" t="s">
        <v>295</v>
      </c>
      <c r="G109" s="13" t="n">
        <v>2026</v>
      </c>
      <c r="H109" s="12" t="s">
        <v>56</v>
      </c>
      <c r="I109" s="15" t="n">
        <v>46167</v>
      </c>
      <c r="J109" s="15" t="n">
        <v>46532</v>
      </c>
      <c r="K109" s="13" t="str">
        <f aca="true">IF(J109&gt;=TODAY(),"Vigente","Encerrado")</f>
        <v>Vigente</v>
      </c>
      <c r="L109" s="16" t="n">
        <f aca="false">ROUND((J109-I109)/30.44,1)</f>
        <v>12</v>
      </c>
      <c r="M109" s="17" t="n">
        <v>37200</v>
      </c>
      <c r="N109" s="17" t="n">
        <f aca="false">IF(L109=0,"",M109/L109)</f>
        <v>3100</v>
      </c>
      <c r="O109" s="18" t="n">
        <f aca="false">IF(E109=0,"",N109*12/E109)</f>
        <v>0.0856509355983247</v>
      </c>
      <c r="P109" s="12" t="s">
        <v>57</v>
      </c>
      <c r="Q109" s="12" t="s">
        <v>476</v>
      </c>
      <c r="R109" s="12" t="s">
        <v>477</v>
      </c>
    </row>
    <row r="110" customFormat="false" ht="15" hidden="false" customHeight="false" outlineLevel="0" collapsed="false">
      <c r="A110" s="5" t="s">
        <v>478</v>
      </c>
      <c r="B110" s="5" t="s">
        <v>432</v>
      </c>
      <c r="C110" s="5" t="s">
        <v>479</v>
      </c>
      <c r="D110" s="6" t="s">
        <v>209</v>
      </c>
      <c r="E110" s="7" t="n">
        <v>167870</v>
      </c>
      <c r="F110" s="6" t="s">
        <v>295</v>
      </c>
      <c r="G110" s="6" t="n">
        <v>2025</v>
      </c>
      <c r="H110" s="5" t="s">
        <v>62</v>
      </c>
      <c r="I110" s="8" t="n">
        <v>45835</v>
      </c>
      <c r="J110" s="8" t="n">
        <v>46199</v>
      </c>
      <c r="K110" s="6" t="str">
        <f aca="true">IF(J110&gt;=TODAY(),"Vigente","Encerrado")</f>
        <v>Encerrado</v>
      </c>
      <c r="L110" s="9" t="n">
        <f aca="false">ROUND((J110-I110)/30.44,1)</f>
        <v>12</v>
      </c>
      <c r="M110" s="10" t="n">
        <v>97200</v>
      </c>
      <c r="N110" s="10" t="n">
        <f aca="false">IF(L110=0,"",M110/L110)</f>
        <v>8100</v>
      </c>
      <c r="O110" s="11" t="n">
        <f aca="false">IF(E110=0,"",N110*12/E110)</f>
        <v>0.579019479359028</v>
      </c>
      <c r="P110" s="5" t="s">
        <v>57</v>
      </c>
      <c r="Q110" s="5" t="s">
        <v>480</v>
      </c>
      <c r="R110" s="5" t="s">
        <v>481</v>
      </c>
    </row>
    <row r="111" customFormat="false" ht="15" hidden="false" customHeight="false" outlineLevel="0" collapsed="false">
      <c r="A111" s="12" t="s">
        <v>482</v>
      </c>
      <c r="B111" s="12" t="s">
        <v>432</v>
      </c>
      <c r="C111" s="12" t="s">
        <v>424</v>
      </c>
      <c r="D111" s="13" t="s">
        <v>209</v>
      </c>
      <c r="E111" s="14" t="n">
        <v>2416339</v>
      </c>
      <c r="F111" s="13" t="s">
        <v>334</v>
      </c>
      <c r="G111" s="13" t="n">
        <v>2024</v>
      </c>
      <c r="H111" s="12" t="s">
        <v>56</v>
      </c>
      <c r="I111" s="15" t="n">
        <v>45547</v>
      </c>
      <c r="J111" s="15" t="n">
        <v>45912</v>
      </c>
      <c r="K111" s="13" t="str">
        <f aca="true">IF(J111&gt;=TODAY(),"Vigente","Encerrado")</f>
        <v>Encerrado</v>
      </c>
      <c r="L111" s="16" t="n">
        <f aca="false">ROUND((J111-I111)/30.44,1)</f>
        <v>12</v>
      </c>
      <c r="M111" s="17" t="n">
        <v>25920</v>
      </c>
      <c r="N111" s="17" t="n">
        <f aca="false">IF(L111=0,"",M111/L111)</f>
        <v>2160</v>
      </c>
      <c r="O111" s="18" t="n">
        <f aca="false">IF(E111=0,"",N111*12/E111)</f>
        <v>0.0107269716707796</v>
      </c>
      <c r="P111" s="12" t="s">
        <v>57</v>
      </c>
      <c r="Q111" s="12" t="s">
        <v>483</v>
      </c>
      <c r="R111" s="12" t="s">
        <v>484</v>
      </c>
    </row>
    <row r="112" customFormat="false" ht="15" hidden="false" customHeight="false" outlineLevel="0" collapsed="false">
      <c r="A112" s="5" t="s">
        <v>485</v>
      </c>
      <c r="B112" s="5" t="s">
        <v>432</v>
      </c>
      <c r="C112" s="5" t="s">
        <v>486</v>
      </c>
      <c r="D112" s="6" t="s">
        <v>104</v>
      </c>
      <c r="E112" s="7" t="n">
        <v>785368</v>
      </c>
      <c r="F112" s="6" t="s">
        <v>334</v>
      </c>
      <c r="G112" s="6" t="n">
        <v>2025</v>
      </c>
      <c r="H112" s="5" t="s">
        <v>56</v>
      </c>
      <c r="I112" s="8" t="n">
        <v>45947</v>
      </c>
      <c r="J112" s="8" t="n">
        <v>46312</v>
      </c>
      <c r="K112" s="6" t="str">
        <f aca="true">IF(J112&gt;=TODAY(),"Vigente","Encerrado")</f>
        <v>Vigente</v>
      </c>
      <c r="L112" s="9" t="n">
        <f aca="false">ROUND((J112-I112)/30.44,1)</f>
        <v>12</v>
      </c>
      <c r="M112" s="10" t="n">
        <v>62724</v>
      </c>
      <c r="N112" s="10" t="n">
        <f aca="false">IF(L112=0,"",M112/L112)</f>
        <v>5227</v>
      </c>
      <c r="O112" s="11" t="n">
        <f aca="false">IF(E112=0,"",N112*12/E112)</f>
        <v>0.0798657444662884</v>
      </c>
      <c r="P112" s="5" t="s">
        <v>57</v>
      </c>
      <c r="Q112" s="5" t="s">
        <v>487</v>
      </c>
      <c r="R112" s="5" t="s">
        <v>488</v>
      </c>
    </row>
    <row r="113" customFormat="false" ht="15" hidden="false" customHeight="false" outlineLevel="0" collapsed="false">
      <c r="A113" s="12" t="s">
        <v>489</v>
      </c>
      <c r="B113" s="12" t="s">
        <v>490</v>
      </c>
      <c r="C113" s="12" t="s">
        <v>491</v>
      </c>
      <c r="D113" s="13" t="s">
        <v>81</v>
      </c>
      <c r="E113" s="14" t="n">
        <v>54237</v>
      </c>
      <c r="F113" s="13" t="s">
        <v>157</v>
      </c>
      <c r="G113" s="13" t="n">
        <v>2023</v>
      </c>
      <c r="H113" s="12" t="s">
        <v>62</v>
      </c>
      <c r="I113" s="15" t="n">
        <v>45120</v>
      </c>
      <c r="J113" s="15" t="n">
        <v>45486</v>
      </c>
      <c r="K113" s="13" t="str">
        <f aca="true">IF(J113&gt;=TODAY(),"Vigente","Encerrado")</f>
        <v>Encerrado</v>
      </c>
      <c r="L113" s="16" t="n">
        <f aca="false">ROUND((J113-I113)/30.44,1)</f>
        <v>12</v>
      </c>
      <c r="M113" s="17" t="n">
        <v>32200</v>
      </c>
      <c r="N113" s="17" t="n">
        <f aca="false">IF(L113=0,"",M113/L113)</f>
        <v>2683.33333333333</v>
      </c>
      <c r="O113" s="18" t="n">
        <f aca="false">IF(E113=0,"",N113*12/E113)</f>
        <v>0.593690653981599</v>
      </c>
      <c r="P113" s="12" t="s">
        <v>57</v>
      </c>
      <c r="Q113" s="12" t="s">
        <v>492</v>
      </c>
      <c r="R113" s="12" t="s">
        <v>493</v>
      </c>
    </row>
    <row r="114" customFormat="false" ht="15" hidden="false" customHeight="false" outlineLevel="0" collapsed="false">
      <c r="A114" s="5" t="s">
        <v>489</v>
      </c>
      <c r="B114" s="5" t="s">
        <v>490</v>
      </c>
      <c r="C114" s="5" t="s">
        <v>494</v>
      </c>
      <c r="D114" s="6" t="s">
        <v>81</v>
      </c>
      <c r="E114" s="7" t="n">
        <v>267796</v>
      </c>
      <c r="F114" s="6" t="s">
        <v>295</v>
      </c>
      <c r="G114" s="6" t="n">
        <v>2022</v>
      </c>
      <c r="H114" s="5" t="s">
        <v>56</v>
      </c>
      <c r="I114" s="8" t="n">
        <v>44888</v>
      </c>
      <c r="J114" s="8" t="n">
        <v>45252</v>
      </c>
      <c r="K114" s="6" t="str">
        <f aca="true">IF(J114&gt;=TODAY(),"Vigente","Encerrado")</f>
        <v>Encerrado</v>
      </c>
      <c r="L114" s="9" t="n">
        <f aca="false">ROUND((J114-I114)/30.44,1)</f>
        <v>12</v>
      </c>
      <c r="M114" s="10" t="n">
        <v>36000</v>
      </c>
      <c r="N114" s="10" t="n">
        <f aca="false">IF(L114=0,"",M114/L114)</f>
        <v>3000</v>
      </c>
      <c r="O114" s="11" t="n">
        <f aca="false">IF(E114=0,"",N114*12/E114)</f>
        <v>0.134430686044601</v>
      </c>
      <c r="P114" s="5" t="s">
        <v>57</v>
      </c>
      <c r="Q114" s="5" t="s">
        <v>495</v>
      </c>
      <c r="R114" s="5" t="s">
        <v>496</v>
      </c>
    </row>
    <row r="115" customFormat="false" ht="15" hidden="false" customHeight="false" outlineLevel="0" collapsed="false">
      <c r="A115" s="12" t="s">
        <v>489</v>
      </c>
      <c r="B115" s="12" t="s">
        <v>490</v>
      </c>
      <c r="C115" s="12" t="s">
        <v>338</v>
      </c>
      <c r="D115" s="13" t="s">
        <v>81</v>
      </c>
      <c r="E115" s="14" t="n">
        <v>11895578</v>
      </c>
      <c r="F115" s="13" t="s">
        <v>334</v>
      </c>
      <c r="G115" s="13" t="n">
        <v>2025</v>
      </c>
      <c r="H115" s="12" t="s">
        <v>62</v>
      </c>
      <c r="I115" s="15" t="n">
        <v>45723</v>
      </c>
      <c r="J115" s="15" t="n">
        <v>46088</v>
      </c>
      <c r="K115" s="13" t="str">
        <f aca="true">IF(J115&gt;=TODAY(),"Vigente","Encerrado")</f>
        <v>Encerrado</v>
      </c>
      <c r="L115" s="16" t="n">
        <f aca="false">ROUND((J115-I115)/30.44,1)</f>
        <v>12</v>
      </c>
      <c r="M115" s="17" t="n">
        <v>69600</v>
      </c>
      <c r="N115" s="17" t="n">
        <f aca="false">IF(L115=0,"",M115/L115)</f>
        <v>5800</v>
      </c>
      <c r="O115" s="18" t="n">
        <f aca="false">IF(E115=0,"",N115*12/E115)</f>
        <v>0.00585091367565326</v>
      </c>
      <c r="P115" s="12" t="s">
        <v>57</v>
      </c>
      <c r="Q115" s="12" t="s">
        <v>497</v>
      </c>
      <c r="R115" s="12" t="s">
        <v>498</v>
      </c>
    </row>
  </sheetData>
  <autoFilter ref="A1:R1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0"/>
    <col collapsed="false" customWidth="true" hidden="false" outlineLevel="0" max="4" min="4" style="0" width="5"/>
    <col collapsed="false" customWidth="true" hidden="false" outlineLevel="0" max="5" min="5" style="0" width="14"/>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0"/>
    <col collapsed="false" customWidth="true" hidden="false" outlineLevel="0" max="17" min="17" style="0" width="70"/>
    <col collapsed="false" customWidth="true" hidden="false" outlineLevel="0" max="18" min="18" style="0" width="50"/>
  </cols>
  <sheetData>
    <row r="1" customFormat="false" ht="23.85" hidden="false" customHeight="false" outlineLevel="0" collapsed="false">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row>
    <row r="2" customFormat="false" ht="15" hidden="false" customHeight="false" outlineLevel="0" collapsed="false">
      <c r="A2" s="5" t="s">
        <v>499</v>
      </c>
      <c r="B2" s="5" t="s">
        <v>52</v>
      </c>
      <c r="C2" s="5" t="s">
        <v>500</v>
      </c>
      <c r="D2" s="6" t="s">
        <v>54</v>
      </c>
      <c r="E2" s="7" t="n">
        <v>17836</v>
      </c>
      <c r="F2" s="6" t="s">
        <v>55</v>
      </c>
      <c r="G2" s="6" t="n">
        <v>2026</v>
      </c>
      <c r="H2" s="5" t="s">
        <v>56</v>
      </c>
      <c r="I2" s="8" t="n">
        <v>46157</v>
      </c>
      <c r="J2" s="8" t="n">
        <v>46522</v>
      </c>
      <c r="K2" s="6" t="str">
        <f aca="true">IF(J2&gt;=TODAY(),"Vigente","Encerrado")</f>
        <v>Vigente</v>
      </c>
      <c r="L2" s="9" t="n">
        <f aca="false">ROUND((J2-I2)/30.44,1)</f>
        <v>12</v>
      </c>
      <c r="M2" s="10" t="n">
        <v>48000</v>
      </c>
      <c r="N2" s="10" t="n">
        <f aca="false">IF(L2=0,"",M2/L2)</f>
        <v>4000</v>
      </c>
      <c r="O2" s="11" t="n">
        <f aca="false">IF(E2=0,"",N2*12/E2)</f>
        <v>2.69118636465575</v>
      </c>
      <c r="P2" s="5" t="s">
        <v>501</v>
      </c>
      <c r="Q2" s="5" t="s">
        <v>502</v>
      </c>
      <c r="R2" s="5" t="s">
        <v>503</v>
      </c>
    </row>
    <row r="3" customFormat="false" ht="15" hidden="false" customHeight="false" outlineLevel="0" collapsed="false">
      <c r="A3" s="12" t="s">
        <v>504</v>
      </c>
      <c r="B3" s="12" t="s">
        <v>52</v>
      </c>
      <c r="C3" s="12" t="s">
        <v>505</v>
      </c>
      <c r="D3" s="13" t="s">
        <v>67</v>
      </c>
      <c r="E3" s="14" t="n">
        <v>19844</v>
      </c>
      <c r="F3" s="13" t="s">
        <v>55</v>
      </c>
      <c r="G3" s="13" t="n">
        <v>2025</v>
      </c>
      <c r="H3" s="12" t="s">
        <v>56</v>
      </c>
      <c r="I3" s="15" t="n">
        <v>45933</v>
      </c>
      <c r="J3" s="15" t="n">
        <v>46297</v>
      </c>
      <c r="K3" s="13" t="str">
        <f aca="true">IF(J3&gt;=TODAY(),"Vigente","Encerrado")</f>
        <v>Vigente</v>
      </c>
      <c r="L3" s="16" t="n">
        <f aca="false">ROUND((J3-I3)/30.44,1)</f>
        <v>12</v>
      </c>
      <c r="M3" s="17" t="n">
        <v>48000</v>
      </c>
      <c r="N3" s="17" t="n">
        <f aca="false">IF(L3=0,"",M3/L3)</f>
        <v>4000</v>
      </c>
      <c r="O3" s="18" t="n">
        <f aca="false">IF(E3=0,"",N3*12/E3)</f>
        <v>2.41886716387825</v>
      </c>
      <c r="P3" s="12" t="s">
        <v>501</v>
      </c>
      <c r="Q3" s="12" t="s">
        <v>506</v>
      </c>
      <c r="R3" s="12" t="s">
        <v>507</v>
      </c>
    </row>
    <row r="4" customFormat="false" ht="15" hidden="false" customHeight="false" outlineLevel="0" collapsed="false">
      <c r="A4" s="5" t="s">
        <v>508</v>
      </c>
      <c r="B4" s="5" t="s">
        <v>52</v>
      </c>
      <c r="C4" s="5" t="s">
        <v>509</v>
      </c>
      <c r="D4" s="6" t="s">
        <v>164</v>
      </c>
      <c r="E4" s="7" t="n">
        <v>11840</v>
      </c>
      <c r="F4" s="6" t="s">
        <v>55</v>
      </c>
      <c r="G4" s="6" t="n">
        <v>2025</v>
      </c>
      <c r="H4" s="5" t="s">
        <v>128</v>
      </c>
      <c r="I4" s="8" t="n">
        <v>45972</v>
      </c>
      <c r="J4" s="8" t="n">
        <v>46336</v>
      </c>
      <c r="K4" s="6" t="str">
        <f aca="true">IF(J4&gt;=TODAY(),"Vigente","Encerrado")</f>
        <v>Vigente</v>
      </c>
      <c r="L4" s="9" t="n">
        <f aca="false">ROUND((J4-I4)/30.44,1)</f>
        <v>12</v>
      </c>
      <c r="M4" s="10" t="n">
        <v>61800</v>
      </c>
      <c r="N4" s="10" t="n">
        <f aca="false">IF(L4=0,"",M4/L4)</f>
        <v>5150</v>
      </c>
      <c r="O4" s="11" t="n">
        <f aca="false">IF(E4=0,"",N4*12/E4)</f>
        <v>5.2195945945946</v>
      </c>
      <c r="P4" s="5" t="s">
        <v>501</v>
      </c>
      <c r="Q4" s="5" t="s">
        <v>510</v>
      </c>
      <c r="R4" s="5" t="s">
        <v>511</v>
      </c>
    </row>
    <row r="5" customFormat="false" ht="15" hidden="false" customHeight="false" outlineLevel="0" collapsed="false">
      <c r="A5" s="12" t="s">
        <v>512</v>
      </c>
      <c r="B5" s="12" t="s">
        <v>52</v>
      </c>
      <c r="C5" s="12" t="s">
        <v>513</v>
      </c>
      <c r="D5" s="13" t="s">
        <v>81</v>
      </c>
      <c r="E5" s="14" t="n">
        <v>22316</v>
      </c>
      <c r="F5" s="13" t="s">
        <v>157</v>
      </c>
      <c r="G5" s="13" t="n">
        <v>2026</v>
      </c>
      <c r="H5" s="12" t="s">
        <v>62</v>
      </c>
      <c r="I5" s="15" t="n">
        <v>46196</v>
      </c>
      <c r="J5" s="15" t="n">
        <v>46561</v>
      </c>
      <c r="K5" s="13" t="str">
        <f aca="true">IF(J5&gt;=TODAY(),"Vigente","Encerrado")</f>
        <v>Vigente</v>
      </c>
      <c r="L5" s="16" t="n">
        <f aca="false">ROUND((J5-I5)/30.44,1)</f>
        <v>12</v>
      </c>
      <c r="M5" s="17" t="n">
        <v>63500</v>
      </c>
      <c r="N5" s="17" t="n">
        <f aca="false">IF(L5=0,"",M5/L5)</f>
        <v>5291.66666666667</v>
      </c>
      <c r="O5" s="18" t="n">
        <f aca="false">IF(E5=0,"",N5*12/E5)</f>
        <v>2.84549202366015</v>
      </c>
      <c r="P5" s="12" t="s">
        <v>501</v>
      </c>
      <c r="Q5" s="12" t="s">
        <v>514</v>
      </c>
      <c r="R5" s="12" t="s">
        <v>515</v>
      </c>
    </row>
    <row r="6" customFormat="false" ht="15" hidden="false" customHeight="false" outlineLevel="0" collapsed="false">
      <c r="A6" s="5" t="s">
        <v>516</v>
      </c>
      <c r="B6" s="5" t="s">
        <v>52</v>
      </c>
      <c r="C6" s="5" t="s">
        <v>517</v>
      </c>
      <c r="D6" s="6" t="s">
        <v>81</v>
      </c>
      <c r="E6" s="7" t="n">
        <v>73467</v>
      </c>
      <c r="F6" s="6" t="s">
        <v>157</v>
      </c>
      <c r="G6" s="6" t="n">
        <v>2025</v>
      </c>
      <c r="H6" s="5" t="s">
        <v>62</v>
      </c>
      <c r="I6" s="8" t="n">
        <v>45825</v>
      </c>
      <c r="J6" s="8" t="n">
        <v>46189</v>
      </c>
      <c r="K6" s="6" t="str">
        <f aca="true">IF(J6&gt;=TODAY(),"Vigente","Encerrado")</f>
        <v>Encerrado</v>
      </c>
      <c r="L6" s="9" t="n">
        <f aca="false">ROUND((J6-I6)/30.44,1)</f>
        <v>12</v>
      </c>
      <c r="M6" s="10" t="n">
        <v>102000</v>
      </c>
      <c r="N6" s="10" t="n">
        <f aca="false">IF(L6=0,"",M6/L6)</f>
        <v>8500</v>
      </c>
      <c r="O6" s="11" t="n">
        <f aca="false">IF(E6=0,"",N6*12/E6)</f>
        <v>1.38837845563314</v>
      </c>
      <c r="P6" s="5" t="s">
        <v>501</v>
      </c>
      <c r="Q6" s="5" t="s">
        <v>518</v>
      </c>
      <c r="R6" s="5" t="s">
        <v>519</v>
      </c>
    </row>
    <row r="7" customFormat="false" ht="15" hidden="false" customHeight="false" outlineLevel="0" collapsed="false">
      <c r="A7" s="12" t="s">
        <v>520</v>
      </c>
      <c r="B7" s="12" t="s">
        <v>52</v>
      </c>
      <c r="C7" s="12" t="s">
        <v>521</v>
      </c>
      <c r="D7" s="13" t="s">
        <v>67</v>
      </c>
      <c r="E7" s="14" t="n">
        <v>50428</v>
      </c>
      <c r="F7" s="13" t="s">
        <v>157</v>
      </c>
      <c r="G7" s="13" t="n">
        <v>2025</v>
      </c>
      <c r="H7" s="12" t="s">
        <v>62</v>
      </c>
      <c r="I7" s="15" t="n">
        <v>45826</v>
      </c>
      <c r="J7" s="15" t="n">
        <v>46191</v>
      </c>
      <c r="K7" s="13" t="str">
        <f aca="true">IF(J7&gt;=TODAY(),"Vigente","Encerrado")</f>
        <v>Encerrado</v>
      </c>
      <c r="L7" s="16" t="n">
        <f aca="false">ROUND((J7-I7)/30.44,1)</f>
        <v>12</v>
      </c>
      <c r="M7" s="17" t="n">
        <v>139960</v>
      </c>
      <c r="N7" s="17" t="n">
        <f aca="false">IF(L7=0,"",M7/L7)</f>
        <v>11663.3333333333</v>
      </c>
      <c r="O7" s="18" t="n">
        <f aca="false">IF(E7=0,"",N7*12/E7)</f>
        <v>2.77544221464266</v>
      </c>
      <c r="P7" s="12" t="s">
        <v>501</v>
      </c>
      <c r="Q7" s="12" t="s">
        <v>522</v>
      </c>
      <c r="R7" s="12" t="s">
        <v>523</v>
      </c>
    </row>
    <row r="8" customFormat="false" ht="15" hidden="false" customHeight="false" outlineLevel="0" collapsed="false">
      <c r="A8" s="5" t="s">
        <v>524</v>
      </c>
      <c r="B8" s="5" t="s">
        <v>52</v>
      </c>
      <c r="C8" s="5" t="s">
        <v>525</v>
      </c>
      <c r="D8" s="6" t="s">
        <v>54</v>
      </c>
      <c r="E8" s="7" t="n">
        <v>31509</v>
      </c>
      <c r="F8" s="6" t="s">
        <v>157</v>
      </c>
      <c r="G8" s="6" t="n">
        <v>2025</v>
      </c>
      <c r="H8" s="5" t="s">
        <v>62</v>
      </c>
      <c r="I8" s="8" t="n">
        <v>45993</v>
      </c>
      <c r="J8" s="8" t="n">
        <v>46358</v>
      </c>
      <c r="K8" s="6" t="str">
        <f aca="true">IF(J8&gt;=TODAY(),"Vigente","Encerrado")</f>
        <v>Vigente</v>
      </c>
      <c r="L8" s="9" t="n">
        <f aca="false">ROUND((J8-I8)/30.44,1)</f>
        <v>12</v>
      </c>
      <c r="M8" s="10" t="n">
        <v>152600</v>
      </c>
      <c r="N8" s="10" t="n">
        <f aca="false">IF(L8=0,"",M8/L8)</f>
        <v>12716.6666666667</v>
      </c>
      <c r="O8" s="11" t="n">
        <f aca="false">IF(E8=0,"",N8*12/E8)</f>
        <v>4.84306071281221</v>
      </c>
      <c r="P8" s="5" t="s">
        <v>501</v>
      </c>
      <c r="Q8" s="5" t="s">
        <v>526</v>
      </c>
      <c r="R8" s="5" t="s">
        <v>527</v>
      </c>
    </row>
    <row r="9" customFormat="false" ht="15" hidden="false" customHeight="false" outlineLevel="0" collapsed="false">
      <c r="A9" s="12" t="s">
        <v>528</v>
      </c>
      <c r="B9" s="12" t="s">
        <v>52</v>
      </c>
      <c r="C9" s="12" t="s">
        <v>529</v>
      </c>
      <c r="D9" s="13" t="s">
        <v>54</v>
      </c>
      <c r="E9" s="14" t="n">
        <v>76982</v>
      </c>
      <c r="F9" s="13" t="s">
        <v>157</v>
      </c>
      <c r="G9" s="13" t="n">
        <v>2026</v>
      </c>
      <c r="H9" s="12" t="s">
        <v>62</v>
      </c>
      <c r="I9" s="15" t="n">
        <v>46191</v>
      </c>
      <c r="J9" s="15" t="n">
        <v>46555</v>
      </c>
      <c r="K9" s="13" t="str">
        <f aca="true">IF(J9&gt;=TODAY(),"Vigente","Encerrado")</f>
        <v>Vigente</v>
      </c>
      <c r="L9" s="16" t="n">
        <f aca="false">ROUND((J9-I9)/30.44,1)</f>
        <v>12</v>
      </c>
      <c r="M9" s="17" t="n">
        <v>228000</v>
      </c>
      <c r="N9" s="17" t="n">
        <f aca="false">IF(L9=0,"",M9/L9)</f>
        <v>19000</v>
      </c>
      <c r="O9" s="18" t="n">
        <f aca="false">IF(E9=0,"",N9*12/E9)</f>
        <v>2.96173131381362</v>
      </c>
      <c r="P9" s="12" t="s">
        <v>501</v>
      </c>
      <c r="Q9" s="12" t="s">
        <v>530</v>
      </c>
      <c r="R9" s="12" t="s">
        <v>531</v>
      </c>
    </row>
    <row r="10" customFormat="false" ht="15" hidden="false" customHeight="false" outlineLevel="0" collapsed="false">
      <c r="A10" s="5" t="s">
        <v>532</v>
      </c>
      <c r="B10" s="5" t="s">
        <v>52</v>
      </c>
      <c r="C10" s="5" t="s">
        <v>533</v>
      </c>
      <c r="D10" s="6" t="s">
        <v>81</v>
      </c>
      <c r="E10" s="7" t="n">
        <v>174561</v>
      </c>
      <c r="F10" s="6" t="s">
        <v>295</v>
      </c>
      <c r="G10" s="6" t="n">
        <v>2025</v>
      </c>
      <c r="H10" s="5" t="s">
        <v>62</v>
      </c>
      <c r="I10" s="8" t="n">
        <v>45841</v>
      </c>
      <c r="J10" s="8" t="n">
        <v>46206</v>
      </c>
      <c r="K10" s="6" t="str">
        <f aca="true">IF(J10&gt;=TODAY(),"Vigente","Encerrado")</f>
        <v>Encerrado</v>
      </c>
      <c r="L10" s="9" t="n">
        <f aca="false">ROUND((J10-I10)/30.44,1)</f>
        <v>12</v>
      </c>
      <c r="M10" s="10" t="n">
        <v>60500</v>
      </c>
      <c r="N10" s="10" t="n">
        <f aca="false">IF(L10=0,"",M10/L10)</f>
        <v>5041.66666666667</v>
      </c>
      <c r="O10" s="11" t="n">
        <f aca="false">IF(E10=0,"",N10*12/E10)</f>
        <v>0.346583715721152</v>
      </c>
      <c r="P10" s="5" t="s">
        <v>501</v>
      </c>
      <c r="Q10" s="5" t="s">
        <v>534</v>
      </c>
      <c r="R10" s="5" t="s">
        <v>535</v>
      </c>
    </row>
    <row r="11" customFormat="false" ht="15" hidden="false" customHeight="false" outlineLevel="0" collapsed="false">
      <c r="A11" s="12" t="s">
        <v>536</v>
      </c>
      <c r="B11" s="12" t="s">
        <v>52</v>
      </c>
      <c r="C11" s="12" t="s">
        <v>537</v>
      </c>
      <c r="D11" s="13" t="s">
        <v>67</v>
      </c>
      <c r="E11" s="14" t="n">
        <v>111009</v>
      </c>
      <c r="F11" s="13" t="s">
        <v>295</v>
      </c>
      <c r="G11" s="13" t="n">
        <v>2024</v>
      </c>
      <c r="H11" s="12" t="s">
        <v>62</v>
      </c>
      <c r="I11" s="15" t="n">
        <v>45471</v>
      </c>
      <c r="J11" s="15" t="n">
        <v>45897</v>
      </c>
      <c r="K11" s="13" t="str">
        <f aca="true">IF(J11&gt;=TODAY(),"Vigente","Encerrado")</f>
        <v>Encerrado</v>
      </c>
      <c r="L11" s="16" t="n">
        <f aca="false">ROUND((J11-I11)/30.44,1)</f>
        <v>14</v>
      </c>
      <c r="M11" s="17" t="n">
        <v>137667</v>
      </c>
      <c r="N11" s="17" t="n">
        <f aca="false">IF(L11=0,"",M11/L11)</f>
        <v>9833.35714285714</v>
      </c>
      <c r="O11" s="18" t="n">
        <f aca="false">IF(E11=0,"",N11*12/E11)</f>
        <v>1.0629794495427</v>
      </c>
      <c r="P11" s="12" t="s">
        <v>501</v>
      </c>
      <c r="Q11" s="12" t="s">
        <v>538</v>
      </c>
      <c r="R11" s="12" t="s">
        <v>539</v>
      </c>
    </row>
    <row r="12" customFormat="false" ht="15" hidden="false" customHeight="false" outlineLevel="0" collapsed="false">
      <c r="A12" s="5" t="s">
        <v>540</v>
      </c>
      <c r="B12" s="5" t="s">
        <v>52</v>
      </c>
      <c r="C12" s="5" t="s">
        <v>541</v>
      </c>
      <c r="D12" s="6" t="s">
        <v>76</v>
      </c>
      <c r="E12" s="7" t="n">
        <v>138104</v>
      </c>
      <c r="F12" s="6" t="s">
        <v>295</v>
      </c>
      <c r="G12" s="6" t="n">
        <v>2026</v>
      </c>
      <c r="H12" s="5" t="s">
        <v>62</v>
      </c>
      <c r="I12" s="8" t="n">
        <v>46099</v>
      </c>
      <c r="J12" s="8" t="n">
        <v>46463</v>
      </c>
      <c r="K12" s="6" t="str">
        <f aca="true">IF(J12&gt;=TODAY(),"Vigente","Encerrado")</f>
        <v>Vigente</v>
      </c>
      <c r="L12" s="9" t="n">
        <f aca="false">ROUND((J12-I12)/30.44,1)</f>
        <v>12</v>
      </c>
      <c r="M12" s="10" t="n">
        <v>205000</v>
      </c>
      <c r="N12" s="10" t="n">
        <f aca="false">IF(L12=0,"",M12/L12)</f>
        <v>17083.3333333333</v>
      </c>
      <c r="O12" s="11" t="n">
        <f aca="false">IF(E12=0,"",N12*12/E12)</f>
        <v>1.48438857672479</v>
      </c>
      <c r="P12" s="5" t="s">
        <v>501</v>
      </c>
      <c r="Q12" s="5" t="s">
        <v>542</v>
      </c>
      <c r="R12" s="5" t="s">
        <v>543</v>
      </c>
    </row>
    <row r="13" customFormat="false" ht="15" hidden="false" customHeight="false" outlineLevel="0" collapsed="false">
      <c r="A13" s="12" t="s">
        <v>544</v>
      </c>
      <c r="B13" s="12" t="s">
        <v>52</v>
      </c>
      <c r="C13" s="12" t="s">
        <v>479</v>
      </c>
      <c r="D13" s="13" t="s">
        <v>209</v>
      </c>
      <c r="E13" s="14" t="n">
        <v>167870</v>
      </c>
      <c r="F13" s="13" t="s">
        <v>295</v>
      </c>
      <c r="G13" s="13" t="n">
        <v>2025</v>
      </c>
      <c r="H13" s="12" t="s">
        <v>62</v>
      </c>
      <c r="I13" s="15" t="n">
        <v>45922</v>
      </c>
      <c r="J13" s="15" t="n">
        <v>47749</v>
      </c>
      <c r="K13" s="13" t="str">
        <f aca="true">IF(J13&gt;=TODAY(),"Vigente","Encerrado")</f>
        <v>Vigente</v>
      </c>
      <c r="L13" s="16" t="n">
        <f aca="false">ROUND((J13-I13)/30.44,1)</f>
        <v>60</v>
      </c>
      <c r="M13" s="17" t="n">
        <v>1380000</v>
      </c>
      <c r="N13" s="17" t="n">
        <f aca="false">IF(L13=0,"",M13/L13)</f>
        <v>23000</v>
      </c>
      <c r="O13" s="18" t="n">
        <f aca="false">IF(E13=0,"",N13*12/E13)</f>
        <v>1.64412938583428</v>
      </c>
      <c r="P13" s="12" t="s">
        <v>501</v>
      </c>
      <c r="Q13" s="12" t="s">
        <v>545</v>
      </c>
      <c r="R13" s="12" t="s">
        <v>546</v>
      </c>
    </row>
    <row r="14" customFormat="false" ht="15" hidden="false" customHeight="false" outlineLevel="0" collapsed="false">
      <c r="A14" s="5" t="s">
        <v>547</v>
      </c>
      <c r="B14" s="5" t="s">
        <v>52</v>
      </c>
      <c r="C14" s="5" t="s">
        <v>548</v>
      </c>
      <c r="D14" s="6" t="s">
        <v>54</v>
      </c>
      <c r="E14" s="7" t="n">
        <v>225281</v>
      </c>
      <c r="F14" s="6" t="s">
        <v>295</v>
      </c>
      <c r="G14" s="6" t="n">
        <v>2025</v>
      </c>
      <c r="H14" s="5" t="s">
        <v>62</v>
      </c>
      <c r="I14" s="8" t="n">
        <v>45804</v>
      </c>
      <c r="J14" s="8" t="n">
        <v>46169</v>
      </c>
      <c r="K14" s="6" t="str">
        <f aca="true">IF(J14&gt;=TODAY(),"Vigente","Encerrado")</f>
        <v>Encerrado</v>
      </c>
      <c r="L14" s="9" t="n">
        <f aca="false">ROUND((J14-I14)/30.44,1)</f>
        <v>12</v>
      </c>
      <c r="M14" s="10" t="n">
        <v>298000</v>
      </c>
      <c r="N14" s="10" t="n">
        <f aca="false">IF(L14=0,"",M14/L14)</f>
        <v>24833.3333333333</v>
      </c>
      <c r="O14" s="11" t="n">
        <f aca="false">IF(E14=0,"",N14*12/E14)</f>
        <v>1.3227924236842</v>
      </c>
      <c r="P14" s="5" t="s">
        <v>501</v>
      </c>
      <c r="Q14" s="5" t="s">
        <v>549</v>
      </c>
      <c r="R14" s="5" t="s">
        <v>550</v>
      </c>
    </row>
    <row r="15" customFormat="false" ht="15" hidden="false" customHeight="false" outlineLevel="0" collapsed="false">
      <c r="A15" s="12" t="s">
        <v>551</v>
      </c>
      <c r="B15" s="12" t="s">
        <v>432</v>
      </c>
      <c r="C15" s="12" t="s">
        <v>552</v>
      </c>
      <c r="D15" s="13" t="s">
        <v>54</v>
      </c>
      <c r="E15" s="14" t="n">
        <v>48903</v>
      </c>
      <c r="F15" s="13" t="s">
        <v>157</v>
      </c>
      <c r="G15" s="13" t="n">
        <v>2026</v>
      </c>
      <c r="H15" s="12" t="s">
        <v>62</v>
      </c>
      <c r="I15" s="15" t="n">
        <v>46055</v>
      </c>
      <c r="J15" s="15" t="n">
        <v>46414</v>
      </c>
      <c r="K15" s="13" t="str">
        <f aca="true">IF(J15&gt;=TODAY(),"Vigente","Encerrado")</f>
        <v>Vigente</v>
      </c>
      <c r="L15" s="16" t="n">
        <f aca="false">ROUND((J15-I15)/30.44,1)</f>
        <v>11.8</v>
      </c>
      <c r="M15" s="17" t="n">
        <v>476199.54</v>
      </c>
      <c r="N15" s="17" t="n">
        <f aca="false">IF(L15=0,"",M15/L15)</f>
        <v>40355.893220339</v>
      </c>
      <c r="O15" s="18" t="n">
        <f aca="false">IF(E15=0,"",N15*12/E15)</f>
        <v>9.90267915350935</v>
      </c>
      <c r="P15" s="12" t="s">
        <v>501</v>
      </c>
      <c r="Q15" s="12" t="s">
        <v>553</v>
      </c>
      <c r="R15" s="12" t="s">
        <v>554</v>
      </c>
    </row>
  </sheetData>
  <autoFilter ref="A1:R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0"/>
    <col collapsed="false" customWidth="true" hidden="false" outlineLevel="0" max="4" min="4" style="0" width="5"/>
    <col collapsed="false" customWidth="true" hidden="false" outlineLevel="0" max="5" min="5" style="0" width="14"/>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0"/>
    <col collapsed="false" customWidth="true" hidden="false" outlineLevel="0" max="17" min="17" style="0" width="70"/>
    <col collapsed="false" customWidth="true" hidden="false" outlineLevel="0" max="18" min="18" style="0" width="50"/>
  </cols>
  <sheetData>
    <row r="1" customFormat="false" ht="23.85" hidden="false" customHeight="false" outlineLevel="0" collapsed="false">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row>
    <row r="2" customFormat="false" ht="15" hidden="false" customHeight="false" outlineLevel="0" collapsed="false">
      <c r="A2" s="5" t="s">
        <v>555</v>
      </c>
      <c r="B2" s="5" t="s">
        <v>52</v>
      </c>
      <c r="C2" s="5" t="s">
        <v>556</v>
      </c>
      <c r="D2" s="6" t="s">
        <v>54</v>
      </c>
      <c r="E2" s="7" t="n">
        <v>6446</v>
      </c>
      <c r="F2" s="6" t="s">
        <v>55</v>
      </c>
      <c r="G2" s="6" t="n">
        <v>2025</v>
      </c>
      <c r="H2" s="5" t="s">
        <v>128</v>
      </c>
      <c r="I2" s="8" t="n">
        <v>45870</v>
      </c>
      <c r="J2" s="8" t="n">
        <v>46234</v>
      </c>
      <c r="K2" s="6" t="str">
        <f aca="true">IF(J2&gt;=TODAY(),"Vigente","Encerrado")</f>
        <v>Encerrado</v>
      </c>
      <c r="L2" s="9" t="n">
        <f aca="false">ROUND((J2-I2)/30.44,1)</f>
        <v>12</v>
      </c>
      <c r="M2" s="10" t="n">
        <v>24000</v>
      </c>
      <c r="N2" s="10" t="n">
        <f aca="false">IF(L2=0,"",M2/L2)</f>
        <v>2000</v>
      </c>
      <c r="O2" s="11" t="n">
        <f aca="false">IF(E2=0,"",N2*12/E2)</f>
        <v>3.72323921811976</v>
      </c>
      <c r="P2" s="5" t="s">
        <v>557</v>
      </c>
      <c r="Q2" s="5" t="s">
        <v>558</v>
      </c>
      <c r="R2" s="5" t="s">
        <v>559</v>
      </c>
    </row>
    <row r="3" customFormat="false" ht="15" hidden="false" customHeight="false" outlineLevel="0" collapsed="false">
      <c r="A3" s="12" t="s">
        <v>560</v>
      </c>
      <c r="B3" s="12" t="s">
        <v>52</v>
      </c>
      <c r="C3" s="12" t="s">
        <v>561</v>
      </c>
      <c r="D3" s="13" t="s">
        <v>76</v>
      </c>
      <c r="E3" s="14" t="n">
        <v>5496</v>
      </c>
      <c r="F3" s="13" t="s">
        <v>55</v>
      </c>
      <c r="G3" s="13" t="n">
        <v>2025</v>
      </c>
      <c r="H3" s="12" t="s">
        <v>128</v>
      </c>
      <c r="I3" s="15" t="n">
        <v>45905</v>
      </c>
      <c r="J3" s="15" t="n">
        <v>46270</v>
      </c>
      <c r="K3" s="13" t="str">
        <f aca="true">IF(J3&gt;=TODAY(),"Vigente","Encerrado")</f>
        <v>Vigente</v>
      </c>
      <c r="L3" s="16" t="n">
        <f aca="false">ROUND((J3-I3)/30.44,1)</f>
        <v>12</v>
      </c>
      <c r="M3" s="17" t="n">
        <v>59899.92</v>
      </c>
      <c r="N3" s="17" t="n">
        <f aca="false">IF(L3=0,"",M3/L3)</f>
        <v>4991.66</v>
      </c>
      <c r="O3" s="18" t="n">
        <f aca="false">IF(E3=0,"",N3*12/E3)</f>
        <v>10.8988209606987</v>
      </c>
      <c r="P3" s="12" t="s">
        <v>557</v>
      </c>
      <c r="Q3" s="12" t="s">
        <v>562</v>
      </c>
      <c r="R3" s="12" t="s">
        <v>563</v>
      </c>
    </row>
    <row r="4" customFormat="false" ht="15" hidden="false" customHeight="false" outlineLevel="0" collapsed="false">
      <c r="A4" s="5" t="s">
        <v>564</v>
      </c>
      <c r="B4" s="5" t="s">
        <v>52</v>
      </c>
      <c r="C4" s="5" t="s">
        <v>565</v>
      </c>
      <c r="D4" s="6" t="s">
        <v>209</v>
      </c>
      <c r="E4" s="7" t="n">
        <v>9197</v>
      </c>
      <c r="F4" s="6" t="s">
        <v>55</v>
      </c>
      <c r="G4" s="6" t="n">
        <v>2025</v>
      </c>
      <c r="H4" s="5" t="s">
        <v>128</v>
      </c>
      <c r="I4" s="8" t="n">
        <v>45915</v>
      </c>
      <c r="J4" s="8" t="n">
        <v>46280</v>
      </c>
      <c r="K4" s="6" t="str">
        <f aca="true">IF(J4&gt;=TODAY(),"Vigente","Encerrado")</f>
        <v>Vigente</v>
      </c>
      <c r="L4" s="9" t="n">
        <f aca="false">ROUND((J4-I4)/30.44,1)</f>
        <v>12</v>
      </c>
      <c r="M4" s="10" t="n">
        <v>61899.96</v>
      </c>
      <c r="N4" s="10" t="n">
        <f aca="false">IF(L4=0,"",M4/L4)</f>
        <v>5158.33</v>
      </c>
      <c r="O4" s="11" t="n">
        <f aca="false">IF(E4=0,"",N4*12/E4)</f>
        <v>6.73045123409808</v>
      </c>
      <c r="P4" s="5" t="s">
        <v>566</v>
      </c>
      <c r="Q4" s="5" t="s">
        <v>567</v>
      </c>
      <c r="R4" s="5" t="s">
        <v>568</v>
      </c>
    </row>
    <row r="5" customFormat="false" ht="15" hidden="false" customHeight="false" outlineLevel="0" collapsed="false">
      <c r="A5" s="12" t="s">
        <v>569</v>
      </c>
      <c r="B5" s="12" t="s">
        <v>52</v>
      </c>
      <c r="C5" s="12" t="s">
        <v>570</v>
      </c>
      <c r="D5" s="13" t="s">
        <v>209</v>
      </c>
      <c r="E5" s="14" t="n">
        <v>11161</v>
      </c>
      <c r="F5" s="13" t="s">
        <v>55</v>
      </c>
      <c r="G5" s="13" t="n">
        <v>2025</v>
      </c>
      <c r="H5" s="12" t="s">
        <v>128</v>
      </c>
      <c r="I5" s="15" t="n">
        <v>45916</v>
      </c>
      <c r="J5" s="15" t="n">
        <v>46281</v>
      </c>
      <c r="K5" s="13" t="str">
        <f aca="true">IF(J5&gt;=TODAY(),"Vigente","Encerrado")</f>
        <v>Vigente</v>
      </c>
      <c r="L5" s="16" t="n">
        <f aca="false">ROUND((J5-I5)/30.44,1)</f>
        <v>12</v>
      </c>
      <c r="M5" s="17" t="n">
        <v>62400</v>
      </c>
      <c r="N5" s="17" t="n">
        <f aca="false">IF(L5=0,"",M5/L5)</f>
        <v>5200</v>
      </c>
      <c r="O5" s="18" t="n">
        <f aca="false">IF(E5=0,"",N5*12/E5)</f>
        <v>5.59089687304005</v>
      </c>
      <c r="P5" s="12" t="s">
        <v>566</v>
      </c>
      <c r="Q5" s="12" t="s">
        <v>571</v>
      </c>
      <c r="R5" s="12" t="s">
        <v>572</v>
      </c>
    </row>
    <row r="6" customFormat="false" ht="15" hidden="false" customHeight="false" outlineLevel="0" collapsed="false">
      <c r="A6" s="5" t="s">
        <v>573</v>
      </c>
      <c r="B6" s="5" t="s">
        <v>52</v>
      </c>
      <c r="C6" s="5" t="s">
        <v>574</v>
      </c>
      <c r="D6" s="6" t="s">
        <v>54</v>
      </c>
      <c r="E6" s="7" t="n">
        <v>4203</v>
      </c>
      <c r="F6" s="6" t="s">
        <v>55</v>
      </c>
      <c r="G6" s="6" t="n">
        <v>2026</v>
      </c>
      <c r="H6" s="5" t="s">
        <v>128</v>
      </c>
      <c r="I6" s="8" t="n">
        <v>46247</v>
      </c>
      <c r="J6" s="8" t="n">
        <v>46612</v>
      </c>
      <c r="K6" s="6" t="str">
        <f aca="true">IF(J6&gt;=TODAY(),"Vigente","Encerrado")</f>
        <v>Vigente</v>
      </c>
      <c r="L6" s="9" t="n">
        <f aca="false">ROUND((J6-I6)/30.44,1)</f>
        <v>12</v>
      </c>
      <c r="M6" s="10" t="n">
        <v>69820.56</v>
      </c>
      <c r="N6" s="10" t="n">
        <f aca="false">IF(L6=0,"",M6/L6)</f>
        <v>5818.38</v>
      </c>
      <c r="O6" s="11" t="n">
        <f aca="false">IF(E6=0,"",N6*12/E6)</f>
        <v>16.6120770877944</v>
      </c>
      <c r="P6" s="5" t="s">
        <v>566</v>
      </c>
      <c r="Q6" s="5" t="s">
        <v>575</v>
      </c>
      <c r="R6" s="5" t="s">
        <v>576</v>
      </c>
    </row>
    <row r="7" customFormat="false" ht="15" hidden="false" customHeight="false" outlineLevel="0" collapsed="false">
      <c r="A7" s="12" t="s">
        <v>577</v>
      </c>
      <c r="B7" s="12" t="s">
        <v>52</v>
      </c>
      <c r="C7" s="12" t="s">
        <v>578</v>
      </c>
      <c r="D7" s="13" t="s">
        <v>579</v>
      </c>
      <c r="E7" s="14" t="n">
        <v>10652</v>
      </c>
      <c r="F7" s="13" t="s">
        <v>55</v>
      </c>
      <c r="G7" s="13" t="n">
        <v>2025</v>
      </c>
      <c r="H7" s="12" t="s">
        <v>128</v>
      </c>
      <c r="I7" s="15" t="n">
        <v>45938</v>
      </c>
      <c r="J7" s="15" t="n">
        <v>46303</v>
      </c>
      <c r="K7" s="13" t="str">
        <f aca="true">IF(J7&gt;=TODAY(),"Vigente","Encerrado")</f>
        <v>Vigente</v>
      </c>
      <c r="L7" s="16" t="n">
        <f aca="false">ROUND((J7-I7)/30.44,1)</f>
        <v>12</v>
      </c>
      <c r="M7" s="17" t="n">
        <v>81798.6</v>
      </c>
      <c r="N7" s="17" t="n">
        <f aca="false">IF(L7=0,"",M7/L7)</f>
        <v>6816.55</v>
      </c>
      <c r="O7" s="18" t="n">
        <f aca="false">IF(E7=0,"",N7*12/E7)</f>
        <v>7.67917761922644</v>
      </c>
      <c r="P7" s="12" t="s">
        <v>580</v>
      </c>
      <c r="Q7" s="12" t="s">
        <v>581</v>
      </c>
      <c r="R7" s="12" t="s">
        <v>582</v>
      </c>
    </row>
    <row r="8" customFormat="false" ht="15" hidden="false" customHeight="false" outlineLevel="0" collapsed="false">
      <c r="A8" s="5" t="s">
        <v>583</v>
      </c>
      <c r="B8" s="5" t="s">
        <v>52</v>
      </c>
      <c r="C8" s="5" t="s">
        <v>584</v>
      </c>
      <c r="D8" s="6" t="s">
        <v>54</v>
      </c>
      <c r="E8" s="7" t="n">
        <v>17149</v>
      </c>
      <c r="F8" s="6" t="s">
        <v>55</v>
      </c>
      <c r="G8" s="6" t="n">
        <v>2025</v>
      </c>
      <c r="H8" s="5" t="s">
        <v>128</v>
      </c>
      <c r="I8" s="8" t="n">
        <v>46002</v>
      </c>
      <c r="J8" s="8" t="n">
        <v>46366</v>
      </c>
      <c r="K8" s="6" t="str">
        <f aca="true">IF(J8&gt;=TODAY(),"Vigente","Encerrado")</f>
        <v>Vigente</v>
      </c>
      <c r="L8" s="9" t="n">
        <f aca="false">ROUND((J8-I8)/30.44,1)</f>
        <v>12</v>
      </c>
      <c r="M8" s="10" t="n">
        <v>121508.52</v>
      </c>
      <c r="N8" s="10" t="n">
        <f aca="false">IF(L8=0,"",M8/L8)</f>
        <v>10125.71</v>
      </c>
      <c r="O8" s="11" t="n">
        <f aca="false">IF(E8=0,"",N8*12/E8)</f>
        <v>7.08545804420083</v>
      </c>
      <c r="P8" s="5" t="s">
        <v>557</v>
      </c>
      <c r="Q8" s="5" t="s">
        <v>585</v>
      </c>
      <c r="R8" s="5" t="s">
        <v>586</v>
      </c>
    </row>
    <row r="9" customFormat="false" ht="15" hidden="false" customHeight="false" outlineLevel="0" collapsed="false">
      <c r="A9" s="12" t="s">
        <v>587</v>
      </c>
      <c r="B9" s="12" t="s">
        <v>52</v>
      </c>
      <c r="C9" s="12" t="s">
        <v>588</v>
      </c>
      <c r="D9" s="13" t="s">
        <v>67</v>
      </c>
      <c r="E9" s="14" t="n">
        <v>41416</v>
      </c>
      <c r="F9" s="13" t="s">
        <v>157</v>
      </c>
      <c r="G9" s="13" t="n">
        <v>2025</v>
      </c>
      <c r="H9" s="12" t="s">
        <v>128</v>
      </c>
      <c r="I9" s="15" t="n">
        <v>45854</v>
      </c>
      <c r="J9" s="15" t="n">
        <v>46219</v>
      </c>
      <c r="K9" s="13" t="str">
        <f aca="true">IF(J9&gt;=TODAY(),"Vigente","Encerrado")</f>
        <v>Encerrado</v>
      </c>
      <c r="L9" s="16" t="n">
        <f aca="false">ROUND((J9-I9)/30.44,1)</f>
        <v>12</v>
      </c>
      <c r="M9" s="17" t="n">
        <v>111600</v>
      </c>
      <c r="N9" s="17" t="n">
        <f aca="false">IF(L9=0,"",M9/L9)</f>
        <v>9300</v>
      </c>
      <c r="O9" s="18" t="n">
        <f aca="false">IF(E9=0,"",N9*12/E9)</f>
        <v>2.69461077844311</v>
      </c>
      <c r="P9" s="12" t="s">
        <v>557</v>
      </c>
      <c r="Q9" s="12" t="s">
        <v>589</v>
      </c>
      <c r="R9" s="12" t="s">
        <v>590</v>
      </c>
    </row>
    <row r="10" customFormat="false" ht="15" hidden="false" customHeight="false" outlineLevel="0" collapsed="false">
      <c r="A10" s="5" t="s">
        <v>591</v>
      </c>
      <c r="B10" s="5" t="s">
        <v>52</v>
      </c>
      <c r="C10" s="5" t="s">
        <v>592</v>
      </c>
      <c r="D10" s="6" t="s">
        <v>184</v>
      </c>
      <c r="E10" s="7" t="n">
        <v>35224</v>
      </c>
      <c r="F10" s="6" t="s">
        <v>157</v>
      </c>
      <c r="G10" s="6" t="n">
        <v>2025</v>
      </c>
      <c r="H10" s="5" t="s">
        <v>62</v>
      </c>
      <c r="I10" s="8" t="n">
        <v>45726</v>
      </c>
      <c r="J10" s="8" t="n">
        <v>46090</v>
      </c>
      <c r="K10" s="6" t="str">
        <f aca="true">IF(J10&gt;=TODAY(),"Vigente","Encerrado")</f>
        <v>Encerrado</v>
      </c>
      <c r="L10" s="9" t="n">
        <f aca="false">ROUND((J10-I10)/30.44,1)</f>
        <v>12</v>
      </c>
      <c r="M10" s="10" t="n">
        <v>119430</v>
      </c>
      <c r="N10" s="10" t="n">
        <f aca="false">IF(L10=0,"",M10/L10)</f>
        <v>9952.5</v>
      </c>
      <c r="O10" s="11" t="n">
        <f aca="false">IF(E10=0,"",N10*12/E10)</f>
        <v>3.39058596411538</v>
      </c>
      <c r="P10" s="5" t="s">
        <v>557</v>
      </c>
      <c r="Q10" s="5" t="s">
        <v>593</v>
      </c>
      <c r="R10" s="5" t="s">
        <v>594</v>
      </c>
    </row>
    <row r="11" customFormat="false" ht="15" hidden="false" customHeight="false" outlineLevel="0" collapsed="false">
      <c r="A11" s="12" t="s">
        <v>595</v>
      </c>
      <c r="B11" s="12" t="s">
        <v>52</v>
      </c>
      <c r="C11" s="12" t="s">
        <v>596</v>
      </c>
      <c r="D11" s="13" t="s">
        <v>184</v>
      </c>
      <c r="E11" s="14" t="n">
        <v>44978</v>
      </c>
      <c r="F11" s="13" t="s">
        <v>157</v>
      </c>
      <c r="G11" s="13" t="n">
        <v>2025</v>
      </c>
      <c r="H11" s="12" t="s">
        <v>128</v>
      </c>
      <c r="I11" s="15" t="n">
        <v>45687</v>
      </c>
      <c r="J11" s="15" t="n">
        <v>46052</v>
      </c>
      <c r="K11" s="13" t="str">
        <f aca="true">IF(J11&gt;=TODAY(),"Vigente","Encerrado")</f>
        <v>Encerrado</v>
      </c>
      <c r="L11" s="16" t="n">
        <f aca="false">ROUND((J11-I11)/30.44,1)</f>
        <v>12</v>
      </c>
      <c r="M11" s="17" t="n">
        <v>126400</v>
      </c>
      <c r="N11" s="17" t="n">
        <f aca="false">IF(L11=0,"",M11/L11)</f>
        <v>10533.3333333333</v>
      </c>
      <c r="O11" s="18" t="n">
        <f aca="false">IF(E11=0,"",N11*12/E11)</f>
        <v>2.81026279514429</v>
      </c>
      <c r="P11" s="12" t="s">
        <v>557</v>
      </c>
      <c r="Q11" s="12" t="s">
        <v>597</v>
      </c>
      <c r="R11" s="12" t="s">
        <v>598</v>
      </c>
    </row>
    <row r="12" customFormat="false" ht="15" hidden="false" customHeight="false" outlineLevel="0" collapsed="false">
      <c r="A12" s="5" t="s">
        <v>599</v>
      </c>
      <c r="B12" s="5" t="s">
        <v>52</v>
      </c>
      <c r="C12" s="5" t="s">
        <v>600</v>
      </c>
      <c r="D12" s="6" t="s">
        <v>76</v>
      </c>
      <c r="E12" s="7" t="n">
        <v>41621</v>
      </c>
      <c r="F12" s="6" t="s">
        <v>157</v>
      </c>
      <c r="G12" s="6" t="n">
        <v>2025</v>
      </c>
      <c r="H12" s="5" t="s">
        <v>62</v>
      </c>
      <c r="I12" s="8" t="n">
        <v>45946</v>
      </c>
      <c r="J12" s="8" t="n">
        <v>46311</v>
      </c>
      <c r="K12" s="6" t="str">
        <f aca="true">IF(J12&gt;=TODAY(),"Vigente","Encerrado")</f>
        <v>Vigente</v>
      </c>
      <c r="L12" s="9" t="n">
        <f aca="false">ROUND((J12-I12)/30.44,1)</f>
        <v>12</v>
      </c>
      <c r="M12" s="10" t="n">
        <v>127200</v>
      </c>
      <c r="N12" s="10" t="n">
        <f aca="false">IF(L12=0,"",M12/L12)</f>
        <v>10600</v>
      </c>
      <c r="O12" s="11" t="n">
        <f aca="false">IF(E12=0,"",N12*12/E12)</f>
        <v>3.05614953989573</v>
      </c>
      <c r="P12" s="5" t="s">
        <v>557</v>
      </c>
      <c r="Q12" s="5" t="s">
        <v>601</v>
      </c>
      <c r="R12" s="5" t="s">
        <v>602</v>
      </c>
    </row>
    <row r="13" customFormat="false" ht="15" hidden="false" customHeight="false" outlineLevel="0" collapsed="false">
      <c r="A13" s="12" t="s">
        <v>603</v>
      </c>
      <c r="B13" s="12" t="s">
        <v>52</v>
      </c>
      <c r="C13" s="12" t="s">
        <v>604</v>
      </c>
      <c r="D13" s="13" t="s">
        <v>605</v>
      </c>
      <c r="E13" s="14" t="n">
        <v>30744</v>
      </c>
      <c r="F13" s="13" t="s">
        <v>157</v>
      </c>
      <c r="G13" s="13" t="n">
        <v>2024</v>
      </c>
      <c r="H13" s="12" t="s">
        <v>128</v>
      </c>
      <c r="I13" s="15" t="n">
        <v>45461</v>
      </c>
      <c r="J13" s="15" t="n">
        <v>45826</v>
      </c>
      <c r="K13" s="13" t="str">
        <f aca="true">IF(J13&gt;=TODAY(),"Vigente","Encerrado")</f>
        <v>Encerrado</v>
      </c>
      <c r="L13" s="16" t="n">
        <f aca="false">ROUND((J13-I13)/30.44,1)</f>
        <v>12</v>
      </c>
      <c r="M13" s="17" t="n">
        <v>146385.96</v>
      </c>
      <c r="N13" s="17" t="n">
        <f aca="false">IF(L13=0,"",M13/L13)</f>
        <v>12198.83</v>
      </c>
      <c r="O13" s="18" t="n">
        <f aca="false">IF(E13=0,"",N13*12/E13)</f>
        <v>4.76144808743169</v>
      </c>
      <c r="P13" s="12" t="s">
        <v>566</v>
      </c>
      <c r="Q13" s="12" t="s">
        <v>606</v>
      </c>
      <c r="R13" s="12" t="s">
        <v>607</v>
      </c>
    </row>
    <row r="14" customFormat="false" ht="15" hidden="false" customHeight="false" outlineLevel="0" collapsed="false">
      <c r="A14" s="5" t="s">
        <v>608</v>
      </c>
      <c r="B14" s="5" t="s">
        <v>52</v>
      </c>
      <c r="C14" s="5" t="s">
        <v>609</v>
      </c>
      <c r="D14" s="6" t="s">
        <v>209</v>
      </c>
      <c r="E14" s="7" t="n">
        <v>40552</v>
      </c>
      <c r="F14" s="6" t="s">
        <v>157</v>
      </c>
      <c r="G14" s="6" t="n">
        <v>2026</v>
      </c>
      <c r="H14" s="5" t="s">
        <v>128</v>
      </c>
      <c r="I14" s="8" t="n">
        <v>46092</v>
      </c>
      <c r="J14" s="8" t="n">
        <v>46456</v>
      </c>
      <c r="K14" s="6" t="str">
        <f aca="true">IF(J14&gt;=TODAY(),"Vigente","Encerrado")</f>
        <v>Vigente</v>
      </c>
      <c r="L14" s="9" t="n">
        <f aca="false">ROUND((J14-I14)/30.44,1)</f>
        <v>12</v>
      </c>
      <c r="M14" s="10" t="n">
        <v>178391.04</v>
      </c>
      <c r="N14" s="10" t="n">
        <f aca="false">IF(L14=0,"",M14/L14)</f>
        <v>14865.92</v>
      </c>
      <c r="O14" s="11" t="n">
        <f aca="false">IF(E14=0,"",N14*12/E14)</f>
        <v>4.39906884987177</v>
      </c>
      <c r="P14" s="5" t="s">
        <v>557</v>
      </c>
      <c r="Q14" s="5" t="s">
        <v>610</v>
      </c>
      <c r="R14" s="5" t="s">
        <v>611</v>
      </c>
    </row>
    <row r="15" customFormat="false" ht="15" hidden="false" customHeight="false" outlineLevel="0" collapsed="false">
      <c r="A15" s="12" t="s">
        <v>612</v>
      </c>
      <c r="B15" s="12" t="s">
        <v>52</v>
      </c>
      <c r="C15" s="12" t="s">
        <v>613</v>
      </c>
      <c r="D15" s="13" t="s">
        <v>579</v>
      </c>
      <c r="E15" s="14" t="n">
        <v>59837</v>
      </c>
      <c r="F15" s="13" t="s">
        <v>157</v>
      </c>
      <c r="G15" s="13" t="n">
        <v>2026</v>
      </c>
      <c r="H15" s="12" t="s">
        <v>128</v>
      </c>
      <c r="I15" s="15" t="n">
        <v>46155</v>
      </c>
      <c r="J15" s="15" t="n">
        <v>46520</v>
      </c>
      <c r="K15" s="13" t="str">
        <f aca="true">IF(J15&gt;=TODAY(),"Vigente","Encerrado")</f>
        <v>Vigente</v>
      </c>
      <c r="L15" s="16" t="n">
        <f aca="false">ROUND((J15-I15)/30.44,1)</f>
        <v>12</v>
      </c>
      <c r="M15" s="17" t="n">
        <v>179837.04</v>
      </c>
      <c r="N15" s="17" t="n">
        <f aca="false">IF(L15=0,"",M15/L15)</f>
        <v>14986.42</v>
      </c>
      <c r="O15" s="18" t="n">
        <f aca="false">IF(E15=0,"",N15*12/E15)</f>
        <v>3.00544880258034</v>
      </c>
      <c r="P15" s="12" t="s">
        <v>557</v>
      </c>
      <c r="Q15" s="12" t="s">
        <v>614</v>
      </c>
      <c r="R15" s="12" t="s">
        <v>615</v>
      </c>
    </row>
    <row r="16" customFormat="false" ht="15" hidden="false" customHeight="false" outlineLevel="0" collapsed="false">
      <c r="A16" s="5" t="s">
        <v>616</v>
      </c>
      <c r="B16" s="5" t="s">
        <v>52</v>
      </c>
      <c r="C16" s="5" t="s">
        <v>617</v>
      </c>
      <c r="D16" s="6" t="s">
        <v>81</v>
      </c>
      <c r="E16" s="7" t="n">
        <v>69717</v>
      </c>
      <c r="F16" s="6" t="s">
        <v>157</v>
      </c>
      <c r="G16" s="6" t="n">
        <v>2025</v>
      </c>
      <c r="H16" s="5" t="s">
        <v>62</v>
      </c>
      <c r="I16" s="8" t="n">
        <v>45831</v>
      </c>
      <c r="J16" s="8" t="n">
        <v>46195</v>
      </c>
      <c r="K16" s="6" t="str">
        <f aca="true">IF(J16&gt;=TODAY(),"Vigente","Encerrado")</f>
        <v>Encerrado</v>
      </c>
      <c r="L16" s="9" t="n">
        <f aca="false">ROUND((J16-I16)/30.44,1)</f>
        <v>12</v>
      </c>
      <c r="M16" s="10" t="n">
        <v>189717</v>
      </c>
      <c r="N16" s="10" t="n">
        <f aca="false">IF(L16=0,"",M16/L16)</f>
        <v>15809.75</v>
      </c>
      <c r="O16" s="11" t="n">
        <f aca="false">IF(E16=0,"",N16*12/E16)</f>
        <v>2.7212444597444</v>
      </c>
      <c r="P16" s="5" t="s">
        <v>566</v>
      </c>
      <c r="Q16" s="5" t="s">
        <v>618</v>
      </c>
      <c r="R16" s="5" t="s">
        <v>619</v>
      </c>
    </row>
    <row r="17" customFormat="false" ht="15" hidden="false" customHeight="false" outlineLevel="0" collapsed="false">
      <c r="A17" s="12" t="s">
        <v>620</v>
      </c>
      <c r="B17" s="12" t="s">
        <v>52</v>
      </c>
      <c r="C17" s="12" t="s">
        <v>621</v>
      </c>
      <c r="D17" s="13" t="s">
        <v>579</v>
      </c>
      <c r="E17" s="14" t="n">
        <v>98501</v>
      </c>
      <c r="F17" s="13" t="s">
        <v>157</v>
      </c>
      <c r="G17" s="13" t="n">
        <v>2025</v>
      </c>
      <c r="H17" s="12" t="s">
        <v>128</v>
      </c>
      <c r="I17" s="15" t="n">
        <v>45859</v>
      </c>
      <c r="J17" s="15" t="n">
        <v>46224</v>
      </c>
      <c r="K17" s="13" t="str">
        <f aca="true">IF(J17&gt;=TODAY(),"Vigente","Encerrado")</f>
        <v>Encerrado</v>
      </c>
      <c r="L17" s="16" t="n">
        <f aca="false">ROUND((J17-I17)/30.44,1)</f>
        <v>12</v>
      </c>
      <c r="M17" s="17" t="n">
        <v>236532</v>
      </c>
      <c r="N17" s="17" t="n">
        <f aca="false">IF(L17=0,"",M17/L17)</f>
        <v>19711</v>
      </c>
      <c r="O17" s="18" t="n">
        <f aca="false">IF(E17=0,"",N17*12/E17)</f>
        <v>2.40131572268302</v>
      </c>
      <c r="P17" s="12" t="s">
        <v>580</v>
      </c>
      <c r="Q17" s="12" t="s">
        <v>622</v>
      </c>
      <c r="R17" s="12" t="s">
        <v>623</v>
      </c>
    </row>
    <row r="18" customFormat="false" ht="15" hidden="false" customHeight="false" outlineLevel="0" collapsed="false">
      <c r="A18" s="5" t="s">
        <v>624</v>
      </c>
      <c r="B18" s="5" t="s">
        <v>52</v>
      </c>
      <c r="C18" s="5" t="s">
        <v>625</v>
      </c>
      <c r="D18" s="6" t="s">
        <v>76</v>
      </c>
      <c r="E18" s="7" t="n">
        <v>96651</v>
      </c>
      <c r="F18" s="6" t="s">
        <v>157</v>
      </c>
      <c r="G18" s="6" t="n">
        <v>2023</v>
      </c>
      <c r="H18" s="5" t="s">
        <v>128</v>
      </c>
      <c r="I18" s="8" t="n">
        <v>45275</v>
      </c>
      <c r="J18" s="8" t="n">
        <v>45641</v>
      </c>
      <c r="K18" s="6" t="str">
        <f aca="true">IF(J18&gt;=TODAY(),"Vigente","Encerrado")</f>
        <v>Encerrado</v>
      </c>
      <c r="L18" s="9" t="n">
        <f aca="false">ROUND((J18-I18)/30.44,1)</f>
        <v>12</v>
      </c>
      <c r="M18" s="10" t="n">
        <v>253681.96</v>
      </c>
      <c r="N18" s="10" t="n">
        <f aca="false">IF(L18=0,"",M18/L18)</f>
        <v>21140.1633333333</v>
      </c>
      <c r="O18" s="11" t="n">
        <f aca="false">IF(E18=0,"",N18*12/E18)</f>
        <v>2.62472152383317</v>
      </c>
      <c r="P18" s="5" t="s">
        <v>566</v>
      </c>
      <c r="Q18" s="5" t="s">
        <v>626</v>
      </c>
      <c r="R18" s="5" t="s">
        <v>627</v>
      </c>
    </row>
    <row r="19" customFormat="false" ht="15" hidden="false" customHeight="false" outlineLevel="0" collapsed="false">
      <c r="A19" s="12" t="s">
        <v>628</v>
      </c>
      <c r="B19" s="12" t="s">
        <v>52</v>
      </c>
      <c r="C19" s="12" t="s">
        <v>629</v>
      </c>
      <c r="D19" s="13" t="s">
        <v>81</v>
      </c>
      <c r="E19" s="14" t="n">
        <v>89943</v>
      </c>
      <c r="F19" s="13" t="s">
        <v>157</v>
      </c>
      <c r="G19" s="13" t="n">
        <v>2026</v>
      </c>
      <c r="H19" s="12" t="s">
        <v>128</v>
      </c>
      <c r="I19" s="15" t="n">
        <v>46031</v>
      </c>
      <c r="J19" s="15" t="n">
        <v>46396</v>
      </c>
      <c r="K19" s="13" t="str">
        <f aca="true">IF(J19&gt;=TODAY(),"Vigente","Encerrado")</f>
        <v>Vigente</v>
      </c>
      <c r="L19" s="16" t="n">
        <f aca="false">ROUND((J19-I19)/30.44,1)</f>
        <v>12</v>
      </c>
      <c r="M19" s="17" t="n">
        <v>277605.6</v>
      </c>
      <c r="N19" s="17" t="n">
        <f aca="false">IF(L19=0,"",M19/L19)</f>
        <v>23133.8</v>
      </c>
      <c r="O19" s="18" t="n">
        <f aca="false">IF(E19=0,"",N19*12/E19)</f>
        <v>3.08646142556953</v>
      </c>
      <c r="P19" s="12" t="s">
        <v>566</v>
      </c>
      <c r="Q19" s="12" t="s">
        <v>630</v>
      </c>
      <c r="R19" s="12" t="s">
        <v>631</v>
      </c>
    </row>
    <row r="20" customFormat="false" ht="15" hidden="false" customHeight="false" outlineLevel="0" collapsed="false">
      <c r="A20" s="5" t="s">
        <v>632</v>
      </c>
      <c r="B20" s="5" t="s">
        <v>52</v>
      </c>
      <c r="C20" s="5" t="s">
        <v>633</v>
      </c>
      <c r="D20" s="6" t="s">
        <v>634</v>
      </c>
      <c r="E20" s="7" t="n">
        <v>108528</v>
      </c>
      <c r="F20" s="6" t="s">
        <v>295</v>
      </c>
      <c r="G20" s="6" t="n">
        <v>2025</v>
      </c>
      <c r="H20" s="5" t="s">
        <v>128</v>
      </c>
      <c r="I20" s="8" t="n">
        <v>45671</v>
      </c>
      <c r="J20" s="8" t="n">
        <v>46036</v>
      </c>
      <c r="K20" s="6" t="str">
        <f aca="true">IF(J20&gt;=TODAY(),"Vigente","Encerrado")</f>
        <v>Encerrado</v>
      </c>
      <c r="L20" s="9" t="n">
        <f aca="false">ROUND((J20-I20)/30.44,1)</f>
        <v>12</v>
      </c>
      <c r="M20" s="10" t="n">
        <v>167869.29</v>
      </c>
      <c r="N20" s="10" t="n">
        <f aca="false">IF(L20=0,"",M20/L20)</f>
        <v>13989.1075</v>
      </c>
      <c r="O20" s="11" t="n">
        <f aca="false">IF(E20=0,"",N20*12/E20)</f>
        <v>1.54678322644847</v>
      </c>
      <c r="P20" s="5" t="s">
        <v>557</v>
      </c>
      <c r="Q20" s="5" t="s">
        <v>597</v>
      </c>
      <c r="R20" s="5" t="s">
        <v>635</v>
      </c>
    </row>
    <row r="21" customFormat="false" ht="15" hidden="false" customHeight="false" outlineLevel="0" collapsed="false">
      <c r="A21" s="12" t="s">
        <v>636</v>
      </c>
      <c r="B21" s="12" t="s">
        <v>52</v>
      </c>
      <c r="C21" s="12" t="s">
        <v>637</v>
      </c>
      <c r="D21" s="13" t="s">
        <v>209</v>
      </c>
      <c r="E21" s="14" t="n">
        <v>119142</v>
      </c>
      <c r="F21" s="13" t="s">
        <v>295</v>
      </c>
      <c r="G21" s="13" t="n">
        <v>2023</v>
      </c>
      <c r="H21" s="12" t="s">
        <v>128</v>
      </c>
      <c r="I21" s="15" t="n">
        <v>45140</v>
      </c>
      <c r="J21" s="15" t="n">
        <v>45506</v>
      </c>
      <c r="K21" s="13" t="str">
        <f aca="true">IF(J21&gt;=TODAY(),"Vigente","Encerrado")</f>
        <v>Encerrado</v>
      </c>
      <c r="L21" s="16" t="n">
        <f aca="false">ROUND((J21-I21)/30.44,1)</f>
        <v>12</v>
      </c>
      <c r="M21" s="17" t="n">
        <v>241531.08</v>
      </c>
      <c r="N21" s="17" t="n">
        <f aca="false">IF(L21=0,"",M21/L21)</f>
        <v>20127.59</v>
      </c>
      <c r="O21" s="18" t="n">
        <f aca="false">IF(E21=0,"",N21*12/E21)</f>
        <v>2.02725386513572</v>
      </c>
      <c r="P21" s="12" t="s">
        <v>566</v>
      </c>
      <c r="Q21" s="12" t="s">
        <v>638</v>
      </c>
      <c r="R21" s="12" t="s">
        <v>639</v>
      </c>
    </row>
    <row r="22" customFormat="false" ht="15" hidden="false" customHeight="false" outlineLevel="0" collapsed="false">
      <c r="A22" s="5" t="s">
        <v>640</v>
      </c>
      <c r="B22" s="5" t="s">
        <v>52</v>
      </c>
      <c r="C22" s="5" t="s">
        <v>641</v>
      </c>
      <c r="D22" s="6" t="s">
        <v>209</v>
      </c>
      <c r="E22" s="7" t="n">
        <v>242328</v>
      </c>
      <c r="F22" s="6" t="s">
        <v>295</v>
      </c>
      <c r="G22" s="6" t="n">
        <v>2025</v>
      </c>
      <c r="H22" s="5" t="s">
        <v>62</v>
      </c>
      <c r="I22" s="8" t="n">
        <v>45866</v>
      </c>
      <c r="J22" s="8" t="n">
        <v>46231</v>
      </c>
      <c r="K22" s="6" t="str">
        <f aca="true">IF(J22&gt;=TODAY(),"Vigente","Encerrado")</f>
        <v>Encerrado</v>
      </c>
      <c r="L22" s="9" t="n">
        <f aca="false">ROUND((J22-I22)/30.44,1)</f>
        <v>12</v>
      </c>
      <c r="M22" s="10" t="n">
        <v>262800</v>
      </c>
      <c r="N22" s="10" t="n">
        <f aca="false">IF(L22=0,"",M22/L22)</f>
        <v>21900</v>
      </c>
      <c r="O22" s="11" t="n">
        <f aca="false">IF(E22=0,"",N22*12/E22)</f>
        <v>1.08448053877389</v>
      </c>
      <c r="P22" s="5" t="s">
        <v>557</v>
      </c>
      <c r="Q22" s="5" t="s">
        <v>642</v>
      </c>
      <c r="R22" s="5" t="s">
        <v>643</v>
      </c>
    </row>
    <row r="23" customFormat="false" ht="15" hidden="false" customHeight="false" outlineLevel="0" collapsed="false">
      <c r="A23" s="12" t="s">
        <v>644</v>
      </c>
      <c r="B23" s="12" t="s">
        <v>52</v>
      </c>
      <c r="C23" s="12" t="s">
        <v>645</v>
      </c>
      <c r="D23" s="13" t="s">
        <v>94</v>
      </c>
      <c r="E23" s="14" t="n">
        <v>259167</v>
      </c>
      <c r="F23" s="13" t="s">
        <v>295</v>
      </c>
      <c r="G23" s="13" t="n">
        <v>2025</v>
      </c>
      <c r="H23" s="12" t="s">
        <v>128</v>
      </c>
      <c r="I23" s="15" t="n">
        <v>45798</v>
      </c>
      <c r="J23" s="15" t="n">
        <v>46527</v>
      </c>
      <c r="K23" s="13" t="str">
        <f aca="true">IF(J23&gt;=TODAY(),"Vigente","Encerrado")</f>
        <v>Vigente</v>
      </c>
      <c r="L23" s="16" t="n">
        <f aca="false">ROUND((J23-I23)/30.44,1)</f>
        <v>23.9</v>
      </c>
      <c r="M23" s="17" t="n">
        <v>528000</v>
      </c>
      <c r="N23" s="17" t="n">
        <f aca="false">IF(L23=0,"",M23/L23)</f>
        <v>22092.050209205</v>
      </c>
      <c r="O23" s="18" t="n">
        <f aca="false">IF(E23=0,"",N23*12/E23)</f>
        <v>1.02291033391775</v>
      </c>
      <c r="P23" s="12" t="s">
        <v>566</v>
      </c>
      <c r="Q23" s="12" t="s">
        <v>646</v>
      </c>
      <c r="R23" s="12" t="s">
        <v>647</v>
      </c>
    </row>
    <row r="24" customFormat="false" ht="15" hidden="false" customHeight="false" outlineLevel="0" collapsed="false">
      <c r="A24" s="5" t="s">
        <v>648</v>
      </c>
      <c r="B24" s="5" t="s">
        <v>52</v>
      </c>
      <c r="C24" s="5" t="s">
        <v>649</v>
      </c>
      <c r="D24" s="6" t="s">
        <v>579</v>
      </c>
      <c r="E24" s="7" t="n">
        <v>149093</v>
      </c>
      <c r="F24" s="6" t="s">
        <v>295</v>
      </c>
      <c r="G24" s="6" t="n">
        <v>2025</v>
      </c>
      <c r="H24" s="5" t="s">
        <v>128</v>
      </c>
      <c r="I24" s="8" t="n">
        <v>45862</v>
      </c>
      <c r="J24" s="8" t="n">
        <v>46957</v>
      </c>
      <c r="K24" s="6" t="str">
        <f aca="true">IF(J24&gt;=TODAY(),"Vigente","Encerrado")</f>
        <v>Vigente</v>
      </c>
      <c r="L24" s="9" t="n">
        <f aca="false">ROUND((J24-I24)/30.44,1)</f>
        <v>36</v>
      </c>
      <c r="M24" s="10" t="n">
        <v>807279.12</v>
      </c>
      <c r="N24" s="10" t="n">
        <f aca="false">IF(L24=0,"",M24/L24)</f>
        <v>22424.42</v>
      </c>
      <c r="O24" s="11" t="n">
        <f aca="false">IF(E24=0,"",N24*12/E24)</f>
        <v>1.80486702930386</v>
      </c>
      <c r="P24" s="5" t="s">
        <v>566</v>
      </c>
      <c r="Q24" s="5" t="s">
        <v>650</v>
      </c>
      <c r="R24" s="5" t="s">
        <v>651</v>
      </c>
    </row>
    <row r="25" customFormat="false" ht="15" hidden="false" customHeight="false" outlineLevel="0" collapsed="false">
      <c r="A25" s="12" t="s">
        <v>652</v>
      </c>
      <c r="B25" s="12" t="s">
        <v>52</v>
      </c>
      <c r="C25" s="12" t="s">
        <v>653</v>
      </c>
      <c r="D25" s="13" t="s">
        <v>195</v>
      </c>
      <c r="E25" s="14" t="n">
        <v>150858</v>
      </c>
      <c r="F25" s="13" t="s">
        <v>295</v>
      </c>
      <c r="G25" s="13" t="n">
        <v>2026</v>
      </c>
      <c r="H25" s="12" t="s">
        <v>128</v>
      </c>
      <c r="I25" s="15" t="n">
        <v>46087</v>
      </c>
      <c r="J25" s="15" t="n">
        <v>46452</v>
      </c>
      <c r="K25" s="13" t="str">
        <f aca="true">IF(J25&gt;=TODAY(),"Vigente","Encerrado")</f>
        <v>Vigente</v>
      </c>
      <c r="L25" s="16" t="n">
        <f aca="false">ROUND((J25-I25)/30.44,1)</f>
        <v>12</v>
      </c>
      <c r="M25" s="17" t="n">
        <v>270858</v>
      </c>
      <c r="N25" s="17" t="n">
        <f aca="false">IF(L25=0,"",M25/L25)</f>
        <v>22571.5</v>
      </c>
      <c r="O25" s="18" t="n">
        <f aca="false">IF(E25=0,"",N25*12/E25)</f>
        <v>1.79545002585213</v>
      </c>
      <c r="P25" s="12" t="s">
        <v>566</v>
      </c>
      <c r="Q25" s="12" t="s">
        <v>654</v>
      </c>
      <c r="R25" s="12" t="s">
        <v>655</v>
      </c>
    </row>
    <row r="26" customFormat="false" ht="15" hidden="false" customHeight="false" outlineLevel="0" collapsed="false">
      <c r="A26" s="5" t="s">
        <v>656</v>
      </c>
      <c r="B26" s="5" t="s">
        <v>52</v>
      </c>
      <c r="C26" s="5" t="s">
        <v>657</v>
      </c>
      <c r="D26" s="6" t="s">
        <v>81</v>
      </c>
      <c r="E26" s="7" t="n">
        <v>249968</v>
      </c>
      <c r="F26" s="6" t="s">
        <v>295</v>
      </c>
      <c r="G26" s="6" t="n">
        <v>2025</v>
      </c>
      <c r="H26" s="5" t="s">
        <v>128</v>
      </c>
      <c r="I26" s="8" t="n">
        <v>45784</v>
      </c>
      <c r="J26" s="8" t="n">
        <v>46149</v>
      </c>
      <c r="K26" s="6" t="str">
        <f aca="true">IF(J26&gt;=TODAY(),"Vigente","Encerrado")</f>
        <v>Encerrado</v>
      </c>
      <c r="L26" s="9" t="n">
        <f aca="false">ROUND((J26-I26)/30.44,1)</f>
        <v>12</v>
      </c>
      <c r="M26" s="10" t="n">
        <v>300229.2</v>
      </c>
      <c r="N26" s="10" t="n">
        <f aca="false">IF(L26=0,"",M26/L26)</f>
        <v>25019.1</v>
      </c>
      <c r="O26" s="11" t="n">
        <f aca="false">IF(E26=0,"",N26*12/E26)</f>
        <v>1.20107053702874</v>
      </c>
      <c r="P26" s="5" t="s">
        <v>566</v>
      </c>
      <c r="Q26" s="5" t="s">
        <v>658</v>
      </c>
      <c r="R26" s="5" t="s">
        <v>659</v>
      </c>
    </row>
    <row r="27" customFormat="false" ht="15" hidden="false" customHeight="false" outlineLevel="0" collapsed="false">
      <c r="A27" s="12" t="s">
        <v>660</v>
      </c>
      <c r="B27" s="12" t="s">
        <v>52</v>
      </c>
      <c r="C27" s="12" t="s">
        <v>661</v>
      </c>
      <c r="D27" s="13" t="s">
        <v>209</v>
      </c>
      <c r="E27" s="14" t="n">
        <v>229483</v>
      </c>
      <c r="F27" s="13" t="s">
        <v>295</v>
      </c>
      <c r="G27" s="13" t="n">
        <v>2026</v>
      </c>
      <c r="H27" s="12" t="s">
        <v>128</v>
      </c>
      <c r="I27" s="15" t="n">
        <v>46185</v>
      </c>
      <c r="J27" s="15" t="n">
        <v>46549</v>
      </c>
      <c r="K27" s="13" t="str">
        <f aca="true">IF(J27&gt;=TODAY(),"Vigente","Encerrado")</f>
        <v>Vigente</v>
      </c>
      <c r="L27" s="16" t="n">
        <f aca="false">ROUND((J27-I27)/30.44,1)</f>
        <v>12</v>
      </c>
      <c r="M27" s="17" t="n">
        <v>349482.96</v>
      </c>
      <c r="N27" s="17" t="n">
        <f aca="false">IF(L27=0,"",M27/L27)</f>
        <v>29123.58</v>
      </c>
      <c r="O27" s="18" t="n">
        <f aca="false">IF(E27=0,"",N27*12/E27)</f>
        <v>1.52291437709983</v>
      </c>
      <c r="P27" s="12" t="s">
        <v>566</v>
      </c>
      <c r="Q27" s="12" t="s">
        <v>662</v>
      </c>
      <c r="R27" s="12" t="s">
        <v>663</v>
      </c>
    </row>
    <row r="28" customFormat="false" ht="15" hidden="false" customHeight="false" outlineLevel="0" collapsed="false">
      <c r="A28" s="5" t="s">
        <v>664</v>
      </c>
      <c r="B28" s="5" t="s">
        <v>52</v>
      </c>
      <c r="C28" s="5" t="s">
        <v>665</v>
      </c>
      <c r="D28" s="6" t="s">
        <v>81</v>
      </c>
      <c r="E28" s="7" t="n">
        <v>159735</v>
      </c>
      <c r="F28" s="6" t="s">
        <v>295</v>
      </c>
      <c r="G28" s="6" t="n">
        <v>2026</v>
      </c>
      <c r="H28" s="5" t="s">
        <v>128</v>
      </c>
      <c r="I28" s="8" t="n">
        <v>46237</v>
      </c>
      <c r="J28" s="8" t="n">
        <v>46602</v>
      </c>
      <c r="K28" s="6" t="str">
        <f aca="true">IF(J28&gt;=TODAY(),"Vigente","Encerrado")</f>
        <v>Vigente</v>
      </c>
      <c r="L28" s="9" t="n">
        <f aca="false">ROUND((J28-I28)/30.44,1)</f>
        <v>12</v>
      </c>
      <c r="M28" s="10" t="n">
        <v>370735.65</v>
      </c>
      <c r="N28" s="10" t="n">
        <f aca="false">IF(L28=0,"",M28/L28)</f>
        <v>30894.6375</v>
      </c>
      <c r="O28" s="11" t="n">
        <f aca="false">IF(E28=0,"",N28*12/E28)</f>
        <v>2.32094187247629</v>
      </c>
      <c r="P28" s="5" t="s">
        <v>566</v>
      </c>
      <c r="Q28" s="5" t="s">
        <v>666</v>
      </c>
      <c r="R28" s="5" t="s">
        <v>667</v>
      </c>
    </row>
    <row r="29" customFormat="false" ht="15" hidden="false" customHeight="false" outlineLevel="0" collapsed="false">
      <c r="A29" s="12" t="s">
        <v>668</v>
      </c>
      <c r="B29" s="12" t="s">
        <v>52</v>
      </c>
      <c r="C29" s="12" t="s">
        <v>669</v>
      </c>
      <c r="D29" s="13" t="s">
        <v>81</v>
      </c>
      <c r="E29" s="14" t="n">
        <v>321298</v>
      </c>
      <c r="F29" s="13" t="s">
        <v>295</v>
      </c>
      <c r="G29" s="13" t="n">
        <v>2026</v>
      </c>
      <c r="H29" s="12" t="s">
        <v>62</v>
      </c>
      <c r="I29" s="15" t="n">
        <v>46077</v>
      </c>
      <c r="J29" s="15" t="n">
        <v>46442</v>
      </c>
      <c r="K29" s="13" t="str">
        <f aca="true">IF(J29&gt;=TODAY(),"Vigente","Encerrado")</f>
        <v>Vigente</v>
      </c>
      <c r="L29" s="16" t="n">
        <f aca="false">ROUND((J29-I29)/30.44,1)</f>
        <v>12</v>
      </c>
      <c r="M29" s="17" t="n">
        <v>489520.8</v>
      </c>
      <c r="N29" s="17" t="n">
        <f aca="false">IF(L29=0,"",M29/L29)</f>
        <v>40793.4</v>
      </c>
      <c r="O29" s="18" t="n">
        <f aca="false">IF(E29=0,"",N29*12/E29)</f>
        <v>1.52357250901033</v>
      </c>
      <c r="P29" s="12" t="s">
        <v>557</v>
      </c>
      <c r="Q29" s="12" t="s">
        <v>670</v>
      </c>
      <c r="R29" s="12" t="s">
        <v>671</v>
      </c>
    </row>
    <row r="30" customFormat="false" ht="15" hidden="false" customHeight="false" outlineLevel="0" collapsed="false">
      <c r="A30" s="5" t="s">
        <v>672</v>
      </c>
      <c r="B30" s="5" t="s">
        <v>52</v>
      </c>
      <c r="C30" s="5" t="s">
        <v>673</v>
      </c>
      <c r="D30" s="6" t="s">
        <v>54</v>
      </c>
      <c r="E30" s="7" t="n">
        <v>287289</v>
      </c>
      <c r="F30" s="6" t="s">
        <v>295</v>
      </c>
      <c r="G30" s="6" t="n">
        <v>2026</v>
      </c>
      <c r="H30" s="5" t="s">
        <v>128</v>
      </c>
      <c r="I30" s="8" t="n">
        <v>46134</v>
      </c>
      <c r="J30" s="8" t="n">
        <v>46499</v>
      </c>
      <c r="K30" s="6" t="str">
        <f aca="true">IF(J30&gt;=TODAY(),"Vigente","Encerrado")</f>
        <v>Vigente</v>
      </c>
      <c r="L30" s="9" t="n">
        <f aca="false">ROUND((J30-I30)/30.44,1)</f>
        <v>12</v>
      </c>
      <c r="M30" s="10" t="n">
        <v>615210.88</v>
      </c>
      <c r="N30" s="10" t="n">
        <f aca="false">IF(L30=0,"",M30/L30)</f>
        <v>51267.5733333333</v>
      </c>
      <c r="O30" s="11" t="n">
        <f aca="false">IF(E30=0,"",N30*12/E30)</f>
        <v>2.14143555792251</v>
      </c>
      <c r="P30" s="5" t="s">
        <v>566</v>
      </c>
      <c r="Q30" s="5" t="s">
        <v>575</v>
      </c>
      <c r="R30" s="5" t="s">
        <v>674</v>
      </c>
    </row>
    <row r="31" customFormat="false" ht="15" hidden="false" customHeight="false" outlineLevel="0" collapsed="false">
      <c r="A31" s="12" t="s">
        <v>675</v>
      </c>
      <c r="B31" s="12" t="s">
        <v>676</v>
      </c>
      <c r="C31" s="12" t="s">
        <v>556</v>
      </c>
      <c r="D31" s="13" t="s">
        <v>54</v>
      </c>
      <c r="E31" s="14" t="n">
        <v>6446</v>
      </c>
      <c r="F31" s="13" t="s">
        <v>55</v>
      </c>
      <c r="G31" s="13" t="n">
        <v>2025</v>
      </c>
      <c r="H31" s="12" t="s">
        <v>128</v>
      </c>
      <c r="I31" s="15" t="n">
        <v>45870</v>
      </c>
      <c r="J31" s="15" t="n">
        <v>46234</v>
      </c>
      <c r="K31" s="13" t="str">
        <f aca="true">IF(J31&gt;=TODAY(),"Vigente","Encerrado")</f>
        <v>Encerrado</v>
      </c>
      <c r="L31" s="16" t="n">
        <f aca="false">ROUND((J31-I31)/30.44,1)</f>
        <v>12</v>
      </c>
      <c r="M31" s="17" t="n">
        <v>11900.04</v>
      </c>
      <c r="N31" s="17" t="n">
        <f aca="false">IF(L31=0,"",M31/L31)</f>
        <v>991.67</v>
      </c>
      <c r="O31" s="18" t="n">
        <f aca="false">IF(E31=0,"",N31*12/E31)</f>
        <v>1.84611231771641</v>
      </c>
      <c r="P31" s="12" t="s">
        <v>557</v>
      </c>
      <c r="Q31" s="12" t="s">
        <v>558</v>
      </c>
      <c r="R31" s="12" t="s">
        <v>677</v>
      </c>
    </row>
    <row r="32" customFormat="false" ht="15" hidden="false" customHeight="false" outlineLevel="0" collapsed="false">
      <c r="A32" s="5" t="s">
        <v>678</v>
      </c>
      <c r="B32" s="5" t="s">
        <v>676</v>
      </c>
      <c r="C32" s="5" t="s">
        <v>556</v>
      </c>
      <c r="D32" s="6" t="s">
        <v>54</v>
      </c>
      <c r="E32" s="7" t="n">
        <v>6446</v>
      </c>
      <c r="F32" s="6" t="s">
        <v>55</v>
      </c>
      <c r="G32" s="6" t="n">
        <v>2025</v>
      </c>
      <c r="H32" s="5" t="s">
        <v>128</v>
      </c>
      <c r="I32" s="8" t="n">
        <v>45870</v>
      </c>
      <c r="J32" s="8" t="n">
        <v>46234</v>
      </c>
      <c r="K32" s="6" t="str">
        <f aca="true">IF(J32&gt;=TODAY(),"Vigente","Encerrado")</f>
        <v>Encerrado</v>
      </c>
      <c r="L32" s="9" t="n">
        <f aca="false">ROUND((J32-I32)/30.44,1)</f>
        <v>12</v>
      </c>
      <c r="M32" s="10" t="n">
        <v>24000</v>
      </c>
      <c r="N32" s="10" t="n">
        <f aca="false">IF(L32=0,"",M32/L32)</f>
        <v>2000</v>
      </c>
      <c r="O32" s="11" t="n">
        <f aca="false">IF(E32=0,"",N32*12/E32)</f>
        <v>3.72323921811976</v>
      </c>
      <c r="P32" s="5" t="s">
        <v>557</v>
      </c>
      <c r="Q32" s="5" t="s">
        <v>558</v>
      </c>
      <c r="R32" s="5" t="s">
        <v>679</v>
      </c>
    </row>
  </sheetData>
  <autoFilter ref="A1:R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7"/>
    <col collapsed="false" customWidth="true" hidden="false" outlineLevel="0" max="6" min="6" style="0" width="44"/>
    <col collapsed="false" customWidth="true" hidden="false" outlineLevel="0" max="7" min="7" style="0" width="17"/>
    <col collapsed="false" customWidth="true" hidden="false" outlineLevel="0" max="8" min="8" style="0" width="40"/>
  </cols>
  <sheetData>
    <row r="1" customFormat="false" ht="17.35" hidden="false" customHeight="false" outlineLevel="0" collapsed="false">
      <c r="A1" s="1" t="s">
        <v>680</v>
      </c>
    </row>
    <row r="2" customFormat="false" ht="15" hidden="false" customHeight="false" outlineLevel="0" collapsed="false">
      <c r="A2" s="19" t="s">
        <v>681</v>
      </c>
    </row>
    <row r="3" customFormat="false" ht="15" hidden="false" customHeight="false" outlineLevel="0" collapsed="false">
      <c r="A3" s="19" t="s">
        <v>682</v>
      </c>
    </row>
    <row r="5" customFormat="false" ht="15" hidden="false" customHeight="false" outlineLevel="0" collapsed="false">
      <c r="A5" s="2" t="s">
        <v>683</v>
      </c>
    </row>
    <row r="6" customFormat="false" ht="15" hidden="false" customHeight="false" outlineLevel="0" collapsed="false">
      <c r="A6" s="19" t="s">
        <v>684</v>
      </c>
    </row>
    <row r="7" customFormat="false" ht="15" hidden="false" customHeight="false" outlineLevel="0" collapsed="false">
      <c r="A7" s="4" t="s">
        <v>685</v>
      </c>
      <c r="B7" s="4" t="s">
        <v>686</v>
      </c>
      <c r="C7" s="4" t="s">
        <v>687</v>
      </c>
      <c r="D7" s="4" t="s">
        <v>688</v>
      </c>
      <c r="E7" s="4" t="s">
        <v>689</v>
      </c>
      <c r="F7" s="4" t="s">
        <v>690</v>
      </c>
      <c r="G7" s="4" t="s">
        <v>691</v>
      </c>
      <c r="H7" s="4" t="s">
        <v>692</v>
      </c>
    </row>
    <row r="8" customFormat="false" ht="15" hidden="false" customHeight="false" outlineLevel="0" collapsed="false">
      <c r="A8" s="20" t="s">
        <v>693</v>
      </c>
    </row>
    <row r="9" customFormat="false" ht="15" hidden="false" customHeight="false" outlineLevel="0" collapsed="false">
      <c r="A9" s="21" t="s">
        <v>694</v>
      </c>
      <c r="B9" s="13" t="n">
        <f aca="false">COUNT('Contratos 1Doc'!$N$2:$N$24)</f>
        <v>23</v>
      </c>
      <c r="C9" s="13" t="n">
        <f aca="false">COUNTIF('Contratos 1Doc'!$K$2:$K$24,"Vigente")</f>
        <v>9</v>
      </c>
      <c r="D9" s="17" t="n">
        <f aca="false">MIN('Contratos 1Doc'!$N$2:$N$24)</f>
        <v>2070.15</v>
      </c>
      <c r="E9" s="17" t="n">
        <f aca="false">MAX('Contratos 1Doc'!$N$2:$N$24)</f>
        <v>8575</v>
      </c>
      <c r="F9" s="22" t="n">
        <f aca="false">MEDIAN('Contratos 1Doc'!$N$2:$N$24)</f>
        <v>3040</v>
      </c>
      <c r="G9" s="17" t="n">
        <f aca="false">F9*12</f>
        <v>36480</v>
      </c>
      <c r="H9" s="13" t="str">
        <f aca="false">IF(B9&gt;=10,"Adequada",IF(B9&gt;=5,"Limitada","Insuficiente"))</f>
        <v>Adequada</v>
      </c>
    </row>
    <row r="10" customFormat="false" ht="15" hidden="false" customHeight="false" outlineLevel="0" collapsed="false">
      <c r="A10" s="21" t="s">
        <v>695</v>
      </c>
      <c r="B10" s="13" t="n">
        <f aca="false">COUNT('Contratos 1Doc'!$N$25:$N$60)</f>
        <v>36</v>
      </c>
      <c r="C10" s="13" t="n">
        <f aca="false">COUNTIF('Contratos 1Doc'!$K$25:$K$60,"Vigente")</f>
        <v>15</v>
      </c>
      <c r="D10" s="17" t="n">
        <f aca="false">MIN('Contratos 1Doc'!$N$25:$N$60)</f>
        <v>675</v>
      </c>
      <c r="E10" s="17" t="n">
        <f aca="false">MAX('Contratos 1Doc'!$N$25:$N$60)</f>
        <v>23478.2608695652</v>
      </c>
      <c r="F10" s="22" t="n">
        <f aca="false">MEDIAN('Contratos 1Doc'!$N$25:$N$60)</f>
        <v>8839.2</v>
      </c>
      <c r="G10" s="17" t="n">
        <f aca="false">F10*12</f>
        <v>106070.4</v>
      </c>
      <c r="H10" s="13" t="str">
        <f aca="false">IF(B10&gt;=10,"Adequada",IF(B10&gt;=5,"Limitada","Insuficiente"))</f>
        <v>Adequada</v>
      </c>
    </row>
    <row r="11" customFormat="false" ht="15" hidden="false" customHeight="false" outlineLevel="0" collapsed="false">
      <c r="A11" s="21" t="s">
        <v>696</v>
      </c>
      <c r="B11" s="13" t="n">
        <f aca="false">COUNT('Contratos 1Doc'!$N$61:$N$70)</f>
        <v>10</v>
      </c>
      <c r="C11" s="13" t="n">
        <f aca="false">COUNTIF('Contratos 1Doc'!$K$61:$K$70,"Vigente")</f>
        <v>4</v>
      </c>
      <c r="D11" s="17" t="n">
        <f aca="false">MIN('Contratos 1Doc'!$N$61:$N$70)</f>
        <v>1875</v>
      </c>
      <c r="E11" s="17" t="n">
        <f aca="false">MAX('Contratos 1Doc'!$N$61:$N$70)</f>
        <v>67500</v>
      </c>
      <c r="F11" s="22" t="n">
        <f aca="false">MEDIAN('Contratos 1Doc'!$N$61:$N$70)</f>
        <v>8960.2</v>
      </c>
      <c r="G11" s="17" t="n">
        <f aca="false">F11*12</f>
        <v>107522.4</v>
      </c>
      <c r="H11" s="13" t="str">
        <f aca="false">IF(B11&gt;=10,"Adequada",IF(B11&gt;=5,"Limitada","Insuficiente"))</f>
        <v>Adequada</v>
      </c>
    </row>
    <row r="12" customFormat="false" ht="15" hidden="false" customHeight="false" outlineLevel="0" collapsed="false">
      <c r="A12" s="21" t="s">
        <v>697</v>
      </c>
      <c r="B12" s="13" t="n">
        <f aca="false">COUNT('Contratos 1Doc'!$N$71:$N$72)</f>
        <v>2</v>
      </c>
      <c r="C12" s="13" t="n">
        <f aca="false">COUNTIF('Contratos 1Doc'!$K$71:$K$72,"Vigente")</f>
        <v>1</v>
      </c>
      <c r="D12" s="17" t="n">
        <f aca="false">MIN('Contratos 1Doc'!$N$71:$N$72)</f>
        <v>996.988166666667</v>
      </c>
      <c r="E12" s="17" t="n">
        <f aca="false">MAX('Contratos 1Doc'!$N$71:$N$72)</f>
        <v>5800</v>
      </c>
      <c r="F12" s="22" t="n">
        <f aca="false">MEDIAN('Contratos 1Doc'!$N$71:$N$72)</f>
        <v>3398.49408333333</v>
      </c>
      <c r="G12" s="17" t="n">
        <f aca="false">F12*12</f>
        <v>40781.929</v>
      </c>
      <c r="H12" s="13" t="str">
        <f aca="false">IF(B12&gt;=10,"Adequada",IF(B12&gt;=5,"Limitada","Insuficiente"))</f>
        <v>Insuficiente</v>
      </c>
    </row>
    <row r="13" customFormat="false" ht="15" hidden="false" customHeight="false" outlineLevel="0" collapsed="false">
      <c r="A13" s="23" t="s">
        <v>698</v>
      </c>
      <c r="B13" s="6" t="n">
        <f aca="false">COUNT('Contratos 1Doc'!$N$2:$N$72)</f>
        <v>71</v>
      </c>
      <c r="C13" s="6" t="n">
        <f aca="false">COUNTIF('Contratos 1Doc'!$K$2:$K$72,"Vigente")</f>
        <v>29</v>
      </c>
      <c r="D13" s="10" t="n">
        <f aca="false">MIN('Contratos 1Doc'!$N$2:$N$72)</f>
        <v>675</v>
      </c>
      <c r="E13" s="10" t="n">
        <f aca="false">MAX('Contratos 1Doc'!$N$2:$N$72)</f>
        <v>67500</v>
      </c>
      <c r="F13" s="24" t="n">
        <f aca="false">MEDIAN('Contratos 1Doc'!$N$2:$N$72)</f>
        <v>5400</v>
      </c>
      <c r="G13" s="10" t="n">
        <f aca="false">F13*12</f>
        <v>64800</v>
      </c>
      <c r="H13" s="6" t="str">
        <f aca="false">IF(B13&gt;=10,"Adequada",IF(B13&gt;=5,"Limitada","Insuficiente"))</f>
        <v>Adequada</v>
      </c>
    </row>
    <row r="14" customFormat="false" ht="15" hidden="false" customHeight="false" outlineLevel="0" collapsed="false">
      <c r="A14" s="20" t="s">
        <v>699</v>
      </c>
    </row>
    <row r="15" customFormat="false" ht="15" hidden="false" customHeight="false" outlineLevel="0" collapsed="false">
      <c r="A15" s="21" t="s">
        <v>700</v>
      </c>
      <c r="B15" s="13" t="n">
        <f aca="false">COUNT('Contratos 1Doc'!$N$73:$N$85)</f>
        <v>13</v>
      </c>
      <c r="C15" s="13" t="n">
        <f aca="false">COUNTIF('Contratos 1Doc'!$K$73:$K$85,"Vigente")</f>
        <v>8</v>
      </c>
      <c r="D15" s="17" t="n">
        <f aca="false">MIN('Contratos 1Doc'!$N$73:$N$85)</f>
        <v>794.92</v>
      </c>
      <c r="E15" s="17" t="n">
        <f aca="false">MAX('Contratos 1Doc'!$N$73:$N$85)</f>
        <v>8441.66666666667</v>
      </c>
      <c r="F15" s="22" t="n">
        <f aca="false">MEDIAN('Contratos 1Doc'!$N$73:$N$85)</f>
        <v>2200</v>
      </c>
      <c r="G15" s="17" t="n">
        <f aca="false">F15*12</f>
        <v>26400</v>
      </c>
      <c r="H15" s="13" t="str">
        <f aca="false">IF(B15&gt;=10,"Adequada",IF(B15&gt;=5,"Limitada","Insuficiente"))</f>
        <v>Adequada</v>
      </c>
    </row>
    <row r="16" customFormat="false" ht="15" hidden="false" customHeight="false" outlineLevel="0" collapsed="false">
      <c r="A16" s="21" t="s">
        <v>701</v>
      </c>
      <c r="B16" s="13" t="n">
        <f aca="false">COUNT('Contratos 1Doc'!$N$86:$N$95)</f>
        <v>10</v>
      </c>
      <c r="C16" s="13" t="n">
        <f aca="false">COUNTIF('Contratos 1Doc'!$K$86:$K$95,"Vigente")</f>
        <v>7</v>
      </c>
      <c r="D16" s="17" t="n">
        <f aca="false">MIN('Contratos 1Doc'!$N$86:$N$95)</f>
        <v>1300</v>
      </c>
      <c r="E16" s="17" t="n">
        <f aca="false">MAX('Contratos 1Doc'!$N$86:$N$95)</f>
        <v>13433.33</v>
      </c>
      <c r="F16" s="22" t="n">
        <f aca="false">MEDIAN('Contratos 1Doc'!$N$86:$N$95)</f>
        <v>4136.23333333333</v>
      </c>
      <c r="G16" s="17" t="n">
        <f aca="false">F16*12</f>
        <v>49634.8</v>
      </c>
      <c r="H16" s="13" t="str">
        <f aca="false">IF(B16&gt;=10,"Adequada",IF(B16&gt;=5,"Limitada","Insuficiente"))</f>
        <v>Adequada</v>
      </c>
    </row>
    <row r="17" customFormat="false" ht="15" hidden="false" customHeight="false" outlineLevel="0" collapsed="false">
      <c r="A17" s="21" t="s">
        <v>702</v>
      </c>
      <c r="B17" s="13" t="n">
        <f aca="false">COUNT('Contratos 1Doc'!$N$96:$N$112)</f>
        <v>17</v>
      </c>
      <c r="C17" s="13" t="n">
        <f aca="false">COUNTIF('Contratos 1Doc'!$K$96:$K$112,"Vigente")</f>
        <v>7</v>
      </c>
      <c r="D17" s="17" t="n">
        <f aca="false">MIN('Contratos 1Doc'!$N$96:$N$112)</f>
        <v>270</v>
      </c>
      <c r="E17" s="17" t="n">
        <f aca="false">MAX('Contratos 1Doc'!$N$96:$N$112)</f>
        <v>8100</v>
      </c>
      <c r="F17" s="22" t="n">
        <f aca="false">MEDIAN('Contratos 1Doc'!$N$96:$N$112)</f>
        <v>2100</v>
      </c>
      <c r="G17" s="17" t="n">
        <f aca="false">F17*12</f>
        <v>25200</v>
      </c>
      <c r="H17" s="13" t="str">
        <f aca="false">IF(B17&gt;=10,"Adequada",IF(B17&gt;=5,"Limitada","Insuficiente"))</f>
        <v>Adequada</v>
      </c>
    </row>
    <row r="18" customFormat="false" ht="15" hidden="false" customHeight="false" outlineLevel="0" collapsed="false">
      <c r="A18" s="21" t="s">
        <v>703</v>
      </c>
      <c r="B18" s="13" t="n">
        <f aca="false">COUNT('Contratos 1Doc'!$N$113:$N$115)</f>
        <v>3</v>
      </c>
      <c r="C18" s="13" t="n">
        <f aca="false">COUNTIF('Contratos 1Doc'!$K$113:$K$115,"Vigente")</f>
        <v>0</v>
      </c>
      <c r="D18" s="17" t="n">
        <f aca="false">MIN('Contratos 1Doc'!$N$113:$N$115)</f>
        <v>2683.33333333333</v>
      </c>
      <c r="E18" s="17" t="n">
        <f aca="false">MAX('Contratos 1Doc'!$N$113:$N$115)</f>
        <v>5800</v>
      </c>
      <c r="F18" s="22" t="n">
        <f aca="false">MEDIAN('Contratos 1Doc'!$N$113:$N$115)</f>
        <v>3000</v>
      </c>
      <c r="G18" s="17" t="n">
        <f aca="false">F18*12</f>
        <v>36000</v>
      </c>
      <c r="H18" s="13" t="str">
        <f aca="false">IF(B18&gt;=10,"Adequada",IF(B18&gt;=5,"Limitada","Insuficiente"))</f>
        <v>Insuficiente</v>
      </c>
    </row>
    <row r="19" customFormat="false" ht="15" hidden="false" customHeight="false" outlineLevel="0" collapsed="false">
      <c r="A19" s="23" t="s">
        <v>704</v>
      </c>
      <c r="B19" s="6" t="n">
        <f aca="false">COUNT('Contratos 1Doc'!$N$2:$N$115)</f>
        <v>114</v>
      </c>
      <c r="C19" s="6" t="n">
        <f aca="false">COUNTIF('Contratos 1Doc'!$K$2:$K$115,"Vigente")</f>
        <v>51</v>
      </c>
      <c r="D19" s="10" t="n">
        <f aca="false">MIN('Contratos 1Doc'!$N$2:$N$115)</f>
        <v>270</v>
      </c>
      <c r="E19" s="10" t="n">
        <f aca="false">MAX('Contratos 1Doc'!$N$2:$N$115)</f>
        <v>67500</v>
      </c>
      <c r="F19" s="24" t="n">
        <f aca="false">MEDIAN('Contratos 1Doc'!$N$2:$N$115)</f>
        <v>4262.17333333333</v>
      </c>
      <c r="G19" s="10" t="n">
        <f aca="false">F19*12</f>
        <v>51146.08</v>
      </c>
      <c r="H19" s="6" t="str">
        <f aca="false">IF(B19&gt;=10,"Adequada",IF(B19&gt;=5,"Limitada","Insuficiente"))</f>
        <v>Adequada</v>
      </c>
    </row>
    <row r="21" customFormat="false" ht="15" hidden="false" customHeight="false" outlineLevel="0" collapsed="false">
      <c r="A21" s="25" t="s">
        <v>705</v>
      </c>
    </row>
    <row r="22" customFormat="false" ht="15" hidden="false" customHeight="false" outlineLevel="0" collapsed="false">
      <c r="A22" s="12" t="s">
        <v>706</v>
      </c>
      <c r="B22" s="26" t="n">
        <f aca="false">COUNTIF('Contratos 1Doc'!$L$2:$L$115,12)</f>
        <v>96</v>
      </c>
    </row>
    <row r="23" customFormat="false" ht="15" hidden="false" customHeight="false" outlineLevel="0" collapsed="false">
      <c r="A23" s="12" t="s">
        <v>707</v>
      </c>
      <c r="B23" s="26" t="n">
        <f aca="false">COUNTIF('Contratos 1Doc'!$H$2:$H$115,"Dispensa")</f>
        <v>62</v>
      </c>
    </row>
    <row r="24" customFormat="false" ht="15" hidden="false" customHeight="false" outlineLevel="0" collapsed="false">
      <c r="A24" s="12" t="s">
        <v>708</v>
      </c>
      <c r="B24" s="26" t="n">
        <f aca="false">COUNTIF('Contratos 1Doc'!$H$2:$H$115,"Pregão - Eletrônico")</f>
        <v>41</v>
      </c>
    </row>
    <row r="25" customFormat="false" ht="15" hidden="false" customHeight="false" outlineLevel="0" collapsed="false">
      <c r="A25" s="12" t="s">
        <v>709</v>
      </c>
      <c r="B25" s="26" t="n">
        <f aca="false">COUNTIF('Contratos 1Doc'!$H$2:$H$115,"Inexigibilidade")</f>
        <v>9</v>
      </c>
    </row>
    <row r="26" customFormat="false" ht="15" hidden="false" customHeight="false" outlineLevel="0" collapsed="false">
      <c r="A26" s="12" t="s">
        <v>710</v>
      </c>
      <c r="B26" s="26" t="n">
        <f aca="false">B19-B23-B24-B25</f>
        <v>2</v>
      </c>
    </row>
    <row r="27" customFormat="false" ht="15" hidden="false" customHeight="false" outlineLevel="0" collapsed="false">
      <c r="A27" s="12" t="s">
        <v>711</v>
      </c>
      <c r="B27" s="27" t="n">
        <f aca="false">MEDIAN('Contratos 1Doc'!$O$2:$O$115)</f>
        <v>1.87362854435697</v>
      </c>
    </row>
    <row r="28" customFormat="false" ht="15" hidden="false" customHeight="false" outlineLevel="0" collapsed="false">
      <c r="A28" s="12" t="s">
        <v>712</v>
      </c>
      <c r="B28" s="28" t="n">
        <f aca="false">MIN('Contratos 1Doc'!$N$2:$N$72)</f>
        <v>675</v>
      </c>
    </row>
    <row r="30" customFormat="false" ht="15" hidden="false" customHeight="false" outlineLevel="0" collapsed="false">
      <c r="A30" s="2" t="s">
        <v>713</v>
      </c>
    </row>
    <row r="31" customFormat="false" ht="15" hidden="false" customHeight="false" outlineLevel="0" collapsed="false">
      <c r="A31" s="19" t="s">
        <v>714</v>
      </c>
    </row>
    <row r="32" customFormat="false" ht="15" hidden="false" customHeight="false" outlineLevel="0" collapsed="false">
      <c r="A32" s="4" t="s">
        <v>685</v>
      </c>
      <c r="B32" s="4" t="s">
        <v>686</v>
      </c>
      <c r="C32" s="4" t="s">
        <v>687</v>
      </c>
      <c r="D32" s="4" t="s">
        <v>688</v>
      </c>
      <c r="E32" s="4" t="s">
        <v>689</v>
      </c>
      <c r="F32" s="4" t="s">
        <v>690</v>
      </c>
      <c r="G32" s="4" t="s">
        <v>691</v>
      </c>
      <c r="H32" s="4" t="s">
        <v>692</v>
      </c>
    </row>
    <row r="33" customFormat="false" ht="15" hidden="false" customHeight="false" outlineLevel="0" collapsed="false">
      <c r="A33" s="20" t="s">
        <v>693</v>
      </c>
    </row>
    <row r="34" customFormat="false" ht="15" hidden="false" customHeight="false" outlineLevel="0" collapsed="false">
      <c r="A34" s="21" t="s">
        <v>694</v>
      </c>
      <c r="B34" s="13" t="n">
        <f aca="false">COUNT('Contratos Aprova'!$N$2:$N$4)</f>
        <v>3</v>
      </c>
      <c r="C34" s="13" t="n">
        <f aca="false">COUNTIF('Contratos Aprova'!$K$2:$K$4,"Vigente")</f>
        <v>3</v>
      </c>
      <c r="D34" s="17" t="n">
        <f aca="false">MIN('Contratos Aprova'!$N$2:$N$4)</f>
        <v>4000</v>
      </c>
      <c r="E34" s="17" t="n">
        <f aca="false">MAX('Contratos Aprova'!$N$2:$N$4)</f>
        <v>5150</v>
      </c>
      <c r="F34" s="22" t="n">
        <f aca="false">MEDIAN('Contratos Aprova'!$N$2:$N$4)</f>
        <v>4000</v>
      </c>
      <c r="G34" s="17" t="n">
        <f aca="false">F34*12</f>
        <v>48000</v>
      </c>
      <c r="H34" s="13" t="str">
        <f aca="false">IF(B34&gt;=10,"Adequada",IF(B34&gt;=5,"Limitada","Insuficiente"))</f>
        <v>Insuficiente</v>
      </c>
    </row>
    <row r="35" customFormat="false" ht="15" hidden="false" customHeight="false" outlineLevel="0" collapsed="false">
      <c r="A35" s="21" t="s">
        <v>695</v>
      </c>
      <c r="B35" s="13" t="n">
        <f aca="false">COUNT('Contratos Aprova'!$N$5:$N$9)</f>
        <v>5</v>
      </c>
      <c r="C35" s="13" t="n">
        <f aca="false">COUNTIF('Contratos Aprova'!$K$5:$K$9,"Vigente")</f>
        <v>3</v>
      </c>
      <c r="D35" s="17" t="n">
        <f aca="false">MIN('Contratos Aprova'!$N$5:$N$9)</f>
        <v>5291.66666666667</v>
      </c>
      <c r="E35" s="17" t="n">
        <f aca="false">MAX('Contratos Aprova'!$N$5:$N$9)</f>
        <v>19000</v>
      </c>
      <c r="F35" s="22" t="n">
        <f aca="false">MEDIAN('Contratos Aprova'!$N$5:$N$9)</f>
        <v>11663.3333333333</v>
      </c>
      <c r="G35" s="17" t="n">
        <f aca="false">F35*12</f>
        <v>139960</v>
      </c>
      <c r="H35" s="13" t="str">
        <f aca="false">IF(B35&gt;=10,"Adequada",IF(B35&gt;=5,"Limitada","Insuficiente"))</f>
        <v>Limitada</v>
      </c>
    </row>
    <row r="36" customFormat="false" ht="15" hidden="false" customHeight="false" outlineLevel="0" collapsed="false">
      <c r="A36" s="21" t="s">
        <v>696</v>
      </c>
      <c r="B36" s="13" t="n">
        <f aca="false">COUNT('Contratos Aprova'!$N$10:$N$14)</f>
        <v>5</v>
      </c>
      <c r="C36" s="13" t="n">
        <f aca="false">COUNTIF('Contratos Aprova'!$K$10:$K$14,"Vigente")</f>
        <v>2</v>
      </c>
      <c r="D36" s="17" t="n">
        <f aca="false">MIN('Contratos Aprova'!$N$10:$N$14)</f>
        <v>5041.66666666667</v>
      </c>
      <c r="E36" s="17" t="n">
        <f aca="false">MAX('Contratos Aprova'!$N$10:$N$14)</f>
        <v>24833.3333333333</v>
      </c>
      <c r="F36" s="22" t="n">
        <f aca="false">MEDIAN('Contratos Aprova'!$N$10:$N$14)</f>
        <v>17083.3333333333</v>
      </c>
      <c r="G36" s="17" t="n">
        <f aca="false">F36*12</f>
        <v>205000</v>
      </c>
      <c r="H36" s="13" t="str">
        <f aca="false">IF(B36&gt;=10,"Adequada",IF(B36&gt;=5,"Limitada","Insuficiente"))</f>
        <v>Limitada</v>
      </c>
    </row>
    <row r="37" customFormat="false" ht="15" hidden="false" customHeight="false" outlineLevel="0" collapsed="false">
      <c r="A37" s="23" t="s">
        <v>698</v>
      </c>
      <c r="B37" s="6" t="n">
        <f aca="false">COUNT('Contratos Aprova'!$N$2:$N$14)</f>
        <v>13</v>
      </c>
      <c r="C37" s="6" t="n">
        <f aca="false">COUNTIF('Contratos Aprova'!$K$2:$K$14,"Vigente")</f>
        <v>8</v>
      </c>
      <c r="D37" s="10" t="n">
        <f aca="false">MIN('Contratos Aprova'!$N$2:$N$14)</f>
        <v>4000</v>
      </c>
      <c r="E37" s="10" t="n">
        <f aca="false">MAX('Contratos Aprova'!$N$2:$N$14)</f>
        <v>24833.3333333333</v>
      </c>
      <c r="F37" s="24" t="n">
        <f aca="false">MEDIAN('Contratos Aprova'!$N$2:$N$14)</f>
        <v>9833.35714285714</v>
      </c>
      <c r="G37" s="10" t="n">
        <f aca="false">F37*12</f>
        <v>118000.285714286</v>
      </c>
      <c r="H37" s="6" t="str">
        <f aca="false">IF(B37&gt;=10,"Adequada",IF(B37&gt;=5,"Limitada","Insuficiente"))</f>
        <v>Adequada</v>
      </c>
    </row>
    <row r="38" customFormat="false" ht="15" hidden="false" customHeight="false" outlineLevel="0" collapsed="false">
      <c r="A38" s="20" t="s">
        <v>699</v>
      </c>
    </row>
    <row r="39" customFormat="false" ht="15" hidden="false" customHeight="false" outlineLevel="0" collapsed="false">
      <c r="A39" s="21" t="s">
        <v>702</v>
      </c>
      <c r="B39" s="13" t="n">
        <f aca="false">COUNT('Contratos Aprova'!$N$15:$N$15)</f>
        <v>1</v>
      </c>
      <c r="C39" s="13" t="n">
        <f aca="false">COUNTIF('Contratos Aprova'!$K$15:$K$15,"Vigente")</f>
        <v>1</v>
      </c>
      <c r="D39" s="17" t="n">
        <f aca="false">MIN('Contratos Aprova'!$N$15:$N$15)</f>
        <v>40355.893220339</v>
      </c>
      <c r="E39" s="17" t="n">
        <f aca="false">MAX('Contratos Aprova'!$N$15:$N$15)</f>
        <v>40355.893220339</v>
      </c>
      <c r="F39" s="22" t="n">
        <f aca="false">MEDIAN('Contratos Aprova'!$N$15:$N$15)</f>
        <v>40355.893220339</v>
      </c>
      <c r="G39" s="17" t="n">
        <f aca="false">F39*12</f>
        <v>484270.718644068</v>
      </c>
      <c r="H39" s="13" t="str">
        <f aca="false">IF(B39&gt;=10,"Adequada",IF(B39&gt;=5,"Limitada","Insuficiente"))</f>
        <v>Insuficiente</v>
      </c>
    </row>
    <row r="40" customFormat="false" ht="15" hidden="false" customHeight="false" outlineLevel="0" collapsed="false">
      <c r="A40" s="23" t="s">
        <v>704</v>
      </c>
      <c r="B40" s="6" t="n">
        <f aca="false">COUNT('Contratos Aprova'!$N$2:$N$15)</f>
        <v>14</v>
      </c>
      <c r="C40" s="6" t="n">
        <f aca="false">COUNTIF('Contratos Aprova'!$K$2:$K$15,"Vigente")</f>
        <v>9</v>
      </c>
      <c r="D40" s="10" t="n">
        <f aca="false">MIN('Contratos Aprova'!$N$2:$N$15)</f>
        <v>4000</v>
      </c>
      <c r="E40" s="10" t="n">
        <f aca="false">MAX('Contratos Aprova'!$N$2:$N$15)</f>
        <v>40355.893220339</v>
      </c>
      <c r="F40" s="24" t="n">
        <f aca="false">MEDIAN('Contratos Aprova'!$N$2:$N$15)</f>
        <v>10748.3452380952</v>
      </c>
      <c r="G40" s="10" t="n">
        <f aca="false">F40*12</f>
        <v>128980.142857143</v>
      </c>
      <c r="H40" s="6" t="str">
        <f aca="false">IF(B40&gt;=10,"Adequada",IF(B40&gt;=5,"Limitada","Insuficiente"))</f>
        <v>Adequada</v>
      </c>
    </row>
    <row r="42" customFormat="false" ht="15" hidden="false" customHeight="false" outlineLevel="0" collapsed="false">
      <c r="A42" s="25" t="s">
        <v>705</v>
      </c>
    </row>
    <row r="43" customFormat="false" ht="15" hidden="false" customHeight="false" outlineLevel="0" collapsed="false">
      <c r="A43" s="12" t="s">
        <v>706</v>
      </c>
      <c r="B43" s="26" t="n">
        <f aca="false">COUNTIF('Contratos Aprova'!$L$2:$L$15,12)</f>
        <v>11</v>
      </c>
    </row>
    <row r="44" customFormat="false" ht="15" hidden="false" customHeight="false" outlineLevel="0" collapsed="false">
      <c r="A44" s="12" t="s">
        <v>707</v>
      </c>
      <c r="B44" s="26" t="n">
        <f aca="false">COUNTIF('Contratos Aprova'!$H$2:$H$15,"Dispensa")</f>
        <v>2</v>
      </c>
    </row>
    <row r="45" customFormat="false" ht="15" hidden="false" customHeight="false" outlineLevel="0" collapsed="false">
      <c r="A45" s="12" t="s">
        <v>708</v>
      </c>
      <c r="B45" s="26" t="n">
        <f aca="false">COUNTIF('Contratos Aprova'!$H$2:$H$15,"Pregão - Eletrônico")</f>
        <v>11</v>
      </c>
    </row>
    <row r="46" customFormat="false" ht="15" hidden="false" customHeight="false" outlineLevel="0" collapsed="false">
      <c r="A46" s="12" t="s">
        <v>709</v>
      </c>
      <c r="B46" s="26" t="n">
        <f aca="false">COUNTIF('Contratos Aprova'!$H$2:$H$15,"Inexigibilidade")</f>
        <v>1</v>
      </c>
    </row>
    <row r="47" customFormat="false" ht="15" hidden="false" customHeight="false" outlineLevel="0" collapsed="false">
      <c r="A47" s="12" t="s">
        <v>710</v>
      </c>
      <c r="B47" s="26" t="n">
        <f aca="false">B40-B44-B45-B46</f>
        <v>0</v>
      </c>
    </row>
    <row r="48" customFormat="false" ht="15" hidden="false" customHeight="false" outlineLevel="0" collapsed="false">
      <c r="A48" s="12" t="s">
        <v>711</v>
      </c>
      <c r="B48" s="27" t="n">
        <f aca="false">MEDIAN('Contratos Aprova'!$O$2:$O$15)</f>
        <v>2.555026764267</v>
      </c>
    </row>
    <row r="49" customFormat="false" ht="15" hidden="false" customHeight="false" outlineLevel="0" collapsed="false">
      <c r="A49" s="12" t="s">
        <v>712</v>
      </c>
      <c r="B49" s="28" t="n">
        <f aca="false">MIN('Contratos Aprova'!$N$2:$N$14)</f>
        <v>4000</v>
      </c>
    </row>
    <row r="51" customFormat="false" ht="15" hidden="false" customHeight="false" outlineLevel="0" collapsed="false">
      <c r="A51" s="2" t="s">
        <v>715</v>
      </c>
    </row>
    <row r="52" customFormat="false" ht="15" hidden="false" customHeight="false" outlineLevel="0" collapsed="false">
      <c r="A52" s="19" t="s">
        <v>716</v>
      </c>
    </row>
    <row r="53" customFormat="false" ht="15" hidden="false" customHeight="false" outlineLevel="0" collapsed="false">
      <c r="A53" s="19" t="s">
        <v>717</v>
      </c>
    </row>
    <row r="54" customFormat="false" ht="15" hidden="false" customHeight="false" outlineLevel="0" collapsed="false">
      <c r="A54" s="4" t="s">
        <v>685</v>
      </c>
      <c r="B54" s="4" t="s">
        <v>686</v>
      </c>
      <c r="C54" s="4" t="s">
        <v>687</v>
      </c>
      <c r="D54" s="4" t="s">
        <v>688</v>
      </c>
      <c r="E54" s="4" t="s">
        <v>689</v>
      </c>
      <c r="F54" s="4" t="s">
        <v>690</v>
      </c>
      <c r="G54" s="4" t="s">
        <v>691</v>
      </c>
      <c r="H54" s="4" t="s">
        <v>692</v>
      </c>
    </row>
    <row r="55" customFormat="false" ht="15" hidden="false" customHeight="false" outlineLevel="0" collapsed="false">
      <c r="A55" s="20" t="s">
        <v>693</v>
      </c>
    </row>
    <row r="56" customFormat="false" ht="15" hidden="false" customHeight="false" outlineLevel="0" collapsed="false">
      <c r="A56" s="21" t="s">
        <v>694</v>
      </c>
      <c r="B56" s="13" t="n">
        <f aca="false">COUNT('Contratos Gove'!$N$2:$N$8)</f>
        <v>7</v>
      </c>
      <c r="C56" s="13" t="n">
        <f aca="false">COUNTIF('Contratos Gove'!$K$2:$K$8,"Vigente")</f>
        <v>6</v>
      </c>
      <c r="D56" s="17" t="n">
        <f aca="false">MIN('Contratos Gove'!$N$2:$N$8)</f>
        <v>2000</v>
      </c>
      <c r="E56" s="17" t="n">
        <f aca="false">MAX('Contratos Gove'!$N$2:$N$8)</f>
        <v>10125.71</v>
      </c>
      <c r="F56" s="22" t="n">
        <f aca="false">MEDIAN('Contratos Gove'!$N$2:$N$8)</f>
        <v>5200</v>
      </c>
      <c r="G56" s="17" t="n">
        <f aca="false">F56*12</f>
        <v>62400</v>
      </c>
      <c r="H56" s="13" t="str">
        <f aca="false">IF(B56&gt;=10,"Adequada",IF(B56&gt;=5,"Limitada","Insuficiente"))</f>
        <v>Limitada</v>
      </c>
    </row>
    <row r="57" customFormat="false" ht="15" hidden="false" customHeight="false" outlineLevel="0" collapsed="false">
      <c r="A57" s="21" t="s">
        <v>695</v>
      </c>
      <c r="B57" s="13" t="n">
        <f aca="false">COUNT('Contratos Gove'!$N$9:$N$19)</f>
        <v>11</v>
      </c>
      <c r="C57" s="13" t="n">
        <f aca="false">COUNTIF('Contratos Gove'!$K$9:$K$19,"Vigente")</f>
        <v>4</v>
      </c>
      <c r="D57" s="17" t="n">
        <f aca="false">MIN('Contratos Gove'!$N$9:$N$19)</f>
        <v>9300</v>
      </c>
      <c r="E57" s="17" t="n">
        <f aca="false">MAX('Contratos Gove'!$N$9:$N$19)</f>
        <v>23133.8</v>
      </c>
      <c r="F57" s="22" t="n">
        <f aca="false">MEDIAN('Contratos Gove'!$N$9:$N$19)</f>
        <v>14865.92</v>
      </c>
      <c r="G57" s="17" t="n">
        <f aca="false">F57*12</f>
        <v>178391.04</v>
      </c>
      <c r="H57" s="13" t="str">
        <f aca="false">IF(B57&gt;=10,"Adequada",IF(B57&gt;=5,"Limitada","Insuficiente"))</f>
        <v>Adequada</v>
      </c>
    </row>
    <row r="58" customFormat="false" ht="15" hidden="false" customHeight="false" outlineLevel="0" collapsed="false">
      <c r="A58" s="21" t="s">
        <v>696</v>
      </c>
      <c r="B58" s="13" t="n">
        <f aca="false">COUNT('Contratos Gove'!$N$20:$N$30)</f>
        <v>11</v>
      </c>
      <c r="C58" s="13" t="n">
        <f aca="false">COUNTIF('Contratos Gove'!$K$20:$K$30,"Vigente")</f>
        <v>7</v>
      </c>
      <c r="D58" s="17" t="n">
        <f aca="false">MIN('Contratos Gove'!$N$20:$N$30)</f>
        <v>13989.1075</v>
      </c>
      <c r="E58" s="17" t="n">
        <f aca="false">MAX('Contratos Gove'!$N$20:$N$30)</f>
        <v>51267.5733333333</v>
      </c>
      <c r="F58" s="22" t="n">
        <f aca="false">MEDIAN('Contratos Gove'!$N$20:$N$30)</f>
        <v>22571.5</v>
      </c>
      <c r="G58" s="17" t="n">
        <f aca="false">F58*12</f>
        <v>270858</v>
      </c>
      <c r="H58" s="13" t="str">
        <f aca="false">IF(B58&gt;=10,"Adequada",IF(B58&gt;=5,"Limitada","Insuficiente"))</f>
        <v>Adequada</v>
      </c>
    </row>
    <row r="59" customFormat="false" ht="15" hidden="false" customHeight="false" outlineLevel="0" collapsed="false">
      <c r="A59" s="23" t="s">
        <v>698</v>
      </c>
      <c r="B59" s="6" t="n">
        <f aca="false">COUNT('Contratos Gove'!$N$2:$N$30)</f>
        <v>29</v>
      </c>
      <c r="C59" s="6" t="n">
        <f aca="false">COUNTIF('Contratos Gove'!$K$2:$K$30,"Vigente")</f>
        <v>17</v>
      </c>
      <c r="D59" s="10" t="n">
        <f aca="false">MIN('Contratos Gove'!$N$2:$N$30)</f>
        <v>2000</v>
      </c>
      <c r="E59" s="10" t="n">
        <f aca="false">MAX('Contratos Gove'!$N$2:$N$30)</f>
        <v>51267.5733333333</v>
      </c>
      <c r="F59" s="24" t="n">
        <f aca="false">MEDIAN('Contratos Gove'!$N$2:$N$30)</f>
        <v>14986.42</v>
      </c>
      <c r="G59" s="10" t="n">
        <f aca="false">F59*12</f>
        <v>179837.04</v>
      </c>
      <c r="H59" s="6" t="str">
        <f aca="false">IF(B59&gt;=10,"Adequada",IF(B59&gt;=5,"Limitada","Insuficiente"))</f>
        <v>Adequada</v>
      </c>
    </row>
    <row r="60" customFormat="false" ht="15" hidden="false" customHeight="false" outlineLevel="0" collapsed="false">
      <c r="A60" s="20" t="s">
        <v>699</v>
      </c>
    </row>
    <row r="61" customFormat="false" ht="15" hidden="false" customHeight="false" outlineLevel="0" collapsed="false">
      <c r="A61" s="21" t="s">
        <v>676</v>
      </c>
      <c r="B61" s="13" t="n">
        <f aca="false">COUNT('Contratos Gove'!$N$31:$N$32)</f>
        <v>2</v>
      </c>
      <c r="C61" s="13" t="n">
        <f aca="false">COUNTIF('Contratos Gove'!$K$31:$K$32,"Vigente")</f>
        <v>0</v>
      </c>
      <c r="D61" s="17" t="n">
        <f aca="false">MIN('Contratos Gove'!$N$31:$N$32)</f>
        <v>991.67</v>
      </c>
      <c r="E61" s="17" t="n">
        <f aca="false">MAX('Contratos Gove'!$N$31:$N$32)</f>
        <v>2000</v>
      </c>
      <c r="F61" s="22" t="n">
        <f aca="false">MEDIAN('Contratos Gove'!$N$31:$N$32)</f>
        <v>1495.835</v>
      </c>
      <c r="G61" s="17" t="n">
        <f aca="false">F61*12</f>
        <v>17950.02</v>
      </c>
      <c r="H61" s="13" t="str">
        <f aca="false">IF(B61&gt;=10,"Adequada",IF(B61&gt;=5,"Limitada","Insuficiente"))</f>
        <v>Insuficiente</v>
      </c>
    </row>
    <row r="62" customFormat="false" ht="15" hidden="false" customHeight="false" outlineLevel="0" collapsed="false">
      <c r="A62" s="23" t="s">
        <v>704</v>
      </c>
      <c r="B62" s="6" t="n">
        <f aca="false">COUNT('Contratos Gove'!$N$2:$N$32)</f>
        <v>31</v>
      </c>
      <c r="C62" s="6" t="n">
        <f aca="false">COUNTIF('Contratos Gove'!$K$2:$K$32,"Vigente")</f>
        <v>17</v>
      </c>
      <c r="D62" s="10" t="n">
        <f aca="false">MIN('Contratos Gove'!$N$2:$N$32)</f>
        <v>991.67</v>
      </c>
      <c r="E62" s="10" t="n">
        <f aca="false">MAX('Contratos Gove'!$N$2:$N$32)</f>
        <v>51267.5733333333</v>
      </c>
      <c r="F62" s="24" t="n">
        <f aca="false">MEDIAN('Contratos Gove'!$N$2:$N$32)</f>
        <v>14865.92</v>
      </c>
      <c r="G62" s="10" t="n">
        <f aca="false">F62*12</f>
        <v>178391.04</v>
      </c>
      <c r="H62" s="6" t="str">
        <f aca="false">IF(B62&gt;=10,"Adequada",IF(B62&gt;=5,"Limitada","Insuficiente"))</f>
        <v>Adequada</v>
      </c>
    </row>
    <row r="64" customFormat="false" ht="15" hidden="false" customHeight="false" outlineLevel="0" collapsed="false">
      <c r="A64" s="25" t="s">
        <v>705</v>
      </c>
    </row>
    <row r="65" customFormat="false" ht="15" hidden="false" customHeight="false" outlineLevel="0" collapsed="false">
      <c r="A65" s="12" t="s">
        <v>706</v>
      </c>
      <c r="B65" s="26" t="n">
        <f aca="false">COUNTIF('Contratos Gove'!$L$2:$L$32,12)</f>
        <v>29</v>
      </c>
    </row>
    <row r="66" customFormat="false" ht="15" hidden="false" customHeight="false" outlineLevel="0" collapsed="false">
      <c r="A66" s="12" t="s">
        <v>707</v>
      </c>
      <c r="B66" s="26" t="n">
        <f aca="false">COUNTIF('Contratos Gove'!$H$2:$H$32,"Dispensa")</f>
        <v>0</v>
      </c>
    </row>
    <row r="67" customFormat="false" ht="15" hidden="false" customHeight="false" outlineLevel="0" collapsed="false">
      <c r="A67" s="12" t="s">
        <v>708</v>
      </c>
      <c r="B67" s="26" t="n">
        <f aca="false">COUNTIF('Contratos Gove'!$H$2:$H$32,"Pregão - Eletrônico")</f>
        <v>5</v>
      </c>
    </row>
    <row r="68" customFormat="false" ht="15" hidden="false" customHeight="false" outlineLevel="0" collapsed="false">
      <c r="A68" s="12" t="s">
        <v>709</v>
      </c>
      <c r="B68" s="26" t="n">
        <f aca="false">COUNTIF('Contratos Gove'!$H$2:$H$32,"Inexigibilidade")</f>
        <v>26</v>
      </c>
    </row>
    <row r="69" customFormat="false" ht="15" hidden="false" customHeight="false" outlineLevel="0" collapsed="false">
      <c r="A69" s="12" t="s">
        <v>710</v>
      </c>
      <c r="B69" s="26" t="n">
        <f aca="false">B62-B66-B67-B68</f>
        <v>0</v>
      </c>
    </row>
    <row r="70" customFormat="false" ht="15" hidden="false" customHeight="false" outlineLevel="0" collapsed="false">
      <c r="A70" s="12" t="s">
        <v>711</v>
      </c>
      <c r="B70" s="27" t="n">
        <f aca="false">MEDIAN('Contratos Gove'!$O$2:$O$32)</f>
        <v>2.7212444597444</v>
      </c>
    </row>
    <row r="71" customFormat="false" ht="15" hidden="false" customHeight="false" outlineLevel="0" collapsed="false">
      <c r="A71" s="12" t="s">
        <v>712</v>
      </c>
      <c r="B71" s="28" t="n">
        <f aca="false">MIN('Contratos Gove'!$N$2:$N$30)</f>
        <v>2000</v>
      </c>
    </row>
    <row r="73" customFormat="false" ht="15" hidden="false" customHeight="false" outlineLevel="0" collapsed="false">
      <c r="A73" s="2" t="s">
        <v>718</v>
      </c>
    </row>
    <row r="74" customFormat="false" ht="23.85" hidden="false" customHeight="false" outlineLevel="0" collapsed="false">
      <c r="A74" s="4" t="s">
        <v>719</v>
      </c>
      <c r="B74" s="4" t="s">
        <v>720</v>
      </c>
      <c r="C74" s="4" t="s">
        <v>721</v>
      </c>
      <c r="D74" s="4" t="s">
        <v>722</v>
      </c>
      <c r="E74" s="4" t="s">
        <v>723</v>
      </c>
      <c r="F74" s="4" t="s">
        <v>724</v>
      </c>
    </row>
    <row r="75" customFormat="false" ht="15" hidden="false" customHeight="false" outlineLevel="0" collapsed="false">
      <c r="A75" s="21" t="s">
        <v>694</v>
      </c>
      <c r="B75" s="29" t="n">
        <f aca="false">F9</f>
        <v>3040</v>
      </c>
      <c r="C75" s="29" t="n">
        <f aca="false">F34</f>
        <v>4000</v>
      </c>
      <c r="D75" s="29" t="n">
        <f aca="false">F56</f>
        <v>5200</v>
      </c>
      <c r="E75" s="30" t="n">
        <f aca="false">IF(OR(B75=0,NOT(ISNUMBER(D75))),"",D75/B75)</f>
        <v>1.71052631578947</v>
      </c>
      <c r="F75" s="31" t="str">
        <f aca="false">IF(NOT(ISNUMBER(E75)),"",IF(E75&gt;1,"Prefeitura paga mais por dados que por tramitacao","Tramitacao tem ticket maior"))</f>
        <v>Prefeitura paga mais por dados que por tramitacao</v>
      </c>
    </row>
    <row r="76" customFormat="false" ht="15" hidden="false" customHeight="false" outlineLevel="0" collapsed="false">
      <c r="A76" s="21" t="s">
        <v>695</v>
      </c>
      <c r="B76" s="29" t="n">
        <f aca="false">F10</f>
        <v>8839.2</v>
      </c>
      <c r="C76" s="29" t="n">
        <f aca="false">F35</f>
        <v>11663.3333333333</v>
      </c>
      <c r="D76" s="29" t="n">
        <f aca="false">F57</f>
        <v>14865.92</v>
      </c>
      <c r="E76" s="30" t="n">
        <f aca="false">IF(OR(B76=0,NOT(ISNUMBER(D76))),"",D76/B76)</f>
        <v>1.68181735903702</v>
      </c>
      <c r="F76" s="31" t="str">
        <f aca="false">IF(NOT(ISNUMBER(E76)),"",IF(E76&gt;1,"Prefeitura paga mais por dados que por tramitacao","Tramitacao tem ticket maior"))</f>
        <v>Prefeitura paga mais por dados que por tramitacao</v>
      </c>
    </row>
    <row r="77" customFormat="false" ht="15" hidden="false" customHeight="false" outlineLevel="0" collapsed="false">
      <c r="A77" s="21" t="s">
        <v>696</v>
      </c>
      <c r="B77" s="29" t="n">
        <f aca="false">F11</f>
        <v>8960.2</v>
      </c>
      <c r="C77" s="29" t="n">
        <f aca="false">F36</f>
        <v>17083.3333333333</v>
      </c>
      <c r="D77" s="29" t="n">
        <f aca="false">F58</f>
        <v>22571.5</v>
      </c>
      <c r="E77" s="30" t="n">
        <f aca="false">IF(OR(B77=0,NOT(ISNUMBER(D77))),"",D77/B77)</f>
        <v>2.5190843954376</v>
      </c>
      <c r="F77" s="31" t="str">
        <f aca="false">IF(NOT(ISNUMBER(E77)),"",IF(E77&gt;1,"Prefeitura paga mais por dados que por tramitacao","Tramitacao tem ticket maior"))</f>
        <v>Prefeitura paga mais por dados que por tramitacao</v>
      </c>
    </row>
    <row r="78" customFormat="false" ht="15" hidden="false" customHeight="false" outlineLevel="0" collapsed="false">
      <c r="A78" s="21" t="s">
        <v>697</v>
      </c>
      <c r="B78" s="29" t="n">
        <f aca="false">F12</f>
        <v>3398.49408333333</v>
      </c>
      <c r="C78" s="29" t="s">
        <v>725</v>
      </c>
      <c r="D78" s="29" t="s">
        <v>725</v>
      </c>
      <c r="E78" s="30"/>
      <c r="F78"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5"/>
    <col collapsed="false" customWidth="true" hidden="false" outlineLevel="0" max="6" min="6" style="0" width="44"/>
    <col collapsed="false" customWidth="true" hidden="false" outlineLevel="0" max="7" min="7" style="0" width="34"/>
    <col collapsed="false" customWidth="true" hidden="false" outlineLevel="0" max="11" min="8" style="0" width="15"/>
    <col collapsed="false" customWidth="true" hidden="false" outlineLevel="0" max="12" min="12" style="0" width="44"/>
  </cols>
  <sheetData>
    <row r="1" customFormat="false" ht="17.35" hidden="false" customHeight="false" outlineLevel="0" collapsed="false">
      <c r="A1" s="1" t="s">
        <v>726</v>
      </c>
    </row>
    <row r="2" customFormat="false" ht="15" hidden="false" customHeight="false" outlineLevel="0" collapsed="false">
      <c r="A2" s="19" t="s">
        <v>727</v>
      </c>
    </row>
    <row r="3" customFormat="false" ht="15" hidden="false" customHeight="false" outlineLevel="0" collapsed="false">
      <c r="A3" s="19" t="s">
        <v>728</v>
      </c>
    </row>
    <row r="5" customFormat="false" ht="15" hidden="false" customHeight="false" outlineLevel="0" collapsed="false">
      <c r="A5" s="2" t="s">
        <v>729</v>
      </c>
    </row>
    <row r="6" customFormat="false" ht="15" hidden="false" customHeight="false" outlineLevel="0" collapsed="false">
      <c r="A6" s="12" t="s">
        <v>730</v>
      </c>
      <c r="B6" s="32" t="s">
        <v>731</v>
      </c>
      <c r="C6" s="19" t="s">
        <v>732</v>
      </c>
    </row>
    <row r="7" customFormat="false" ht="15" hidden="false" customHeight="false" outlineLevel="0" collapsed="false">
      <c r="A7" s="12" t="s">
        <v>733</v>
      </c>
      <c r="B7" s="33" t="n">
        <v>12</v>
      </c>
      <c r="C7" s="19" t="s">
        <v>734</v>
      </c>
    </row>
    <row r="8" customFormat="false" ht="15" hidden="false" customHeight="false" outlineLevel="0" collapsed="false">
      <c r="A8" s="12" t="s">
        <v>735</v>
      </c>
      <c r="B8" s="34" t="n">
        <v>0.25</v>
      </c>
      <c r="C8" s="19" t="s">
        <v>736</v>
      </c>
    </row>
    <row r="9" customFormat="false" ht="15" hidden="false" customHeight="false" outlineLevel="0" collapsed="false">
      <c r="A9" s="12" t="s">
        <v>737</v>
      </c>
      <c r="B9" s="34" t="n">
        <v>0.1</v>
      </c>
      <c r="C9" s="19" t="s">
        <v>738</v>
      </c>
    </row>
    <row r="10" customFormat="false" ht="15" hidden="false" customHeight="false" outlineLevel="0" collapsed="false">
      <c r="A10" s="12" t="s">
        <v>739</v>
      </c>
      <c r="B10" s="35" t="n">
        <v>0.045</v>
      </c>
      <c r="C10" s="19" t="s">
        <v>740</v>
      </c>
    </row>
    <row r="11" customFormat="false" ht="15" hidden="false" customHeight="false" outlineLevel="0" collapsed="false">
      <c r="A11" s="12" t="s">
        <v>741</v>
      </c>
      <c r="B11" s="36"/>
      <c r="C11" s="19" t="s">
        <v>742</v>
      </c>
    </row>
    <row r="13" customFormat="false" ht="15" hidden="false" customHeight="false" outlineLevel="0" collapsed="false">
      <c r="A13" s="2" t="s">
        <v>743</v>
      </c>
    </row>
    <row r="14" customFormat="false" ht="15" hidden="false" customHeight="false" outlineLevel="0" collapsed="false">
      <c r="A14" s="19" t="s">
        <v>744</v>
      </c>
    </row>
    <row r="15" customFormat="false" ht="23.85" hidden="false" customHeight="false" outlineLevel="0" collapsed="false">
      <c r="A15" s="4" t="s">
        <v>719</v>
      </c>
      <c r="B15" s="4" t="s">
        <v>745</v>
      </c>
      <c r="C15" s="4" t="s">
        <v>746</v>
      </c>
      <c r="D15" s="4" t="s">
        <v>747</v>
      </c>
      <c r="E15" s="4" t="s">
        <v>748</v>
      </c>
      <c r="F15" s="4" t="s">
        <v>749</v>
      </c>
      <c r="G15" s="4" t="s">
        <v>750</v>
      </c>
      <c r="H15" s="4" t="s">
        <v>751</v>
      </c>
      <c r="I15" s="4" t="s">
        <v>752</v>
      </c>
      <c r="J15" s="4" t="s">
        <v>753</v>
      </c>
      <c r="K15" s="4" t="s">
        <v>754</v>
      </c>
    </row>
    <row r="16" customFormat="false" ht="15" hidden="false" customHeight="false" outlineLevel="0" collapsed="false">
      <c r="A16" s="21" t="s">
        <v>694</v>
      </c>
      <c r="B16" s="29" t="n">
        <f aca="false">'Resumo por faixa'!F9</f>
        <v>3040</v>
      </c>
      <c r="C16" s="29" t="n">
        <f aca="false">'Resumo por faixa'!F34</f>
        <v>4000</v>
      </c>
      <c r="D16" s="29" t="n">
        <f aca="false">'Resumo por faixa'!F56</f>
        <v>5200</v>
      </c>
      <c r="E16" s="29" t="n">
        <f aca="false">IF($B$6="Aprova",IF(ISNUMBER(C16),C16,B16),IF($B$6="Gove",IF(ISNUMBER(D16),D16,B16),B16))</f>
        <v>3040</v>
      </c>
      <c r="F16" s="37" t="n">
        <v>0.85</v>
      </c>
      <c r="G16" s="29" t="n">
        <f aca="false">ROUND(E16*F16,-1)</f>
        <v>2580</v>
      </c>
      <c r="H16" s="29" t="n">
        <f aca="false">G16*12</f>
        <v>30960</v>
      </c>
      <c r="I16" s="29" t="n">
        <f aca="false">ROUND(H16*$B$8,-1)</f>
        <v>7740</v>
      </c>
      <c r="J16" s="29" t="n">
        <f aca="false">G16*$B$7+I16</f>
        <v>38700</v>
      </c>
      <c r="K16" s="38" t="str">
        <f aca="false">IF($B$11="","preencher limite",IF(J16&lt;=$B$11,"Sim","Nao"))</f>
        <v>preencher limite</v>
      </c>
    </row>
    <row r="17" customFormat="false" ht="15" hidden="false" customHeight="false" outlineLevel="0" collapsed="false">
      <c r="A17" s="21" t="s">
        <v>695</v>
      </c>
      <c r="B17" s="29" t="n">
        <f aca="false">'Resumo por faixa'!F10</f>
        <v>8839.2</v>
      </c>
      <c r="C17" s="29" t="n">
        <f aca="false">'Resumo por faixa'!F35</f>
        <v>11663.3333333333</v>
      </c>
      <c r="D17" s="29" t="n">
        <f aca="false">'Resumo por faixa'!F57</f>
        <v>14865.92</v>
      </c>
      <c r="E17" s="29" t="n">
        <f aca="false">IF($B$6="Aprova",IF(ISNUMBER(C17),C17,B17),IF($B$6="Gove",IF(ISNUMBER(D17),D17,B17),B17))</f>
        <v>8839.2</v>
      </c>
      <c r="F17" s="37" t="n">
        <v>0.9</v>
      </c>
      <c r="G17" s="29" t="n">
        <f aca="false">ROUND(E17*F17,-1)</f>
        <v>7960</v>
      </c>
      <c r="H17" s="29" t="n">
        <f aca="false">G17*12</f>
        <v>95520</v>
      </c>
      <c r="I17" s="29" t="n">
        <f aca="false">ROUND(H17*$B$8,-1)</f>
        <v>23880</v>
      </c>
      <c r="J17" s="29" t="n">
        <f aca="false">G17*$B$7+I17</f>
        <v>119400</v>
      </c>
      <c r="K17" s="38" t="str">
        <f aca="false">IF($B$11="","preencher limite",IF(J17&lt;=$B$11,"Sim","Nao"))</f>
        <v>preencher limite</v>
      </c>
    </row>
    <row r="18" customFormat="false" ht="15" hidden="false" customHeight="false" outlineLevel="0" collapsed="false">
      <c r="A18" s="21" t="s">
        <v>696</v>
      </c>
      <c r="B18" s="29" t="n">
        <f aca="false">'Resumo por faixa'!F11</f>
        <v>8960.2</v>
      </c>
      <c r="C18" s="29" t="n">
        <f aca="false">'Resumo por faixa'!F36</f>
        <v>17083.3333333333</v>
      </c>
      <c r="D18" s="29" t="n">
        <f aca="false">'Resumo por faixa'!F58</f>
        <v>22571.5</v>
      </c>
      <c r="E18" s="29" t="n">
        <f aca="false">IF($B$6="Aprova",IF(ISNUMBER(C18),C18,B18),IF($B$6="Gove",IF(ISNUMBER(D18),D18,B18),B18))</f>
        <v>8960.2</v>
      </c>
      <c r="F18" s="37" t="n">
        <v>0.95</v>
      </c>
      <c r="G18" s="29" t="n">
        <f aca="false">ROUND(E18*F18,-1)</f>
        <v>8510</v>
      </c>
      <c r="H18" s="29" t="n">
        <f aca="false">G18*12</f>
        <v>102120</v>
      </c>
      <c r="I18" s="29" t="n">
        <f aca="false">ROUND(H18*$B$8,-1)</f>
        <v>25530</v>
      </c>
      <c r="J18" s="29" t="n">
        <f aca="false">G18*$B$7+I18</f>
        <v>127650</v>
      </c>
      <c r="K18" s="38" t="str">
        <f aca="false">IF($B$11="","preencher limite",IF(J18&lt;=$B$11,"Sim","Nao"))</f>
        <v>preencher limite</v>
      </c>
    </row>
    <row r="19" customFormat="false" ht="15" hidden="false" customHeight="false" outlineLevel="0" collapsed="false">
      <c r="A19" s="21" t="s">
        <v>697</v>
      </c>
      <c r="B19" s="29" t="n">
        <f aca="false">'Resumo por faixa'!F12</f>
        <v>3398.49408333333</v>
      </c>
      <c r="C19" s="29" t="s">
        <v>725</v>
      </c>
      <c r="D19" s="29" t="s">
        <v>725</v>
      </c>
      <c r="E19" s="29" t="n">
        <f aca="false">IF($B$6="Aprova",IF(ISNUMBER(C19),C19,B19),IF($B$6="Gove",IF(ISNUMBER(D19),D19,B19),B19))</f>
        <v>3398.49408333333</v>
      </c>
      <c r="F19" s="37" t="n">
        <v>1</v>
      </c>
      <c r="G19" s="29" t="n">
        <f aca="false">ROUND(E19*F19,-1)</f>
        <v>3400</v>
      </c>
      <c r="H19" s="29" t="n">
        <f aca="false">G19*12</f>
        <v>40800</v>
      </c>
      <c r="I19" s="29" t="n">
        <f aca="false">ROUND(H19*$B$8,-1)</f>
        <v>10200</v>
      </c>
      <c r="J19" s="29" t="n">
        <f aca="false">G19*$B$7+I19</f>
        <v>51000</v>
      </c>
      <c r="K19" s="38" t="str">
        <f aca="false">IF($B$11="","preencher limite",IF(J19&lt;=$B$11,"Sim","Nao"))</f>
        <v>preencher limite</v>
      </c>
    </row>
    <row r="20" customFormat="false" ht="15" hidden="false" customHeight="false" outlineLevel="0" collapsed="false">
      <c r="A20" s="19" t="s">
        <v>755</v>
      </c>
    </row>
    <row r="22" customFormat="false" ht="15" hidden="false" customHeight="false" outlineLevel="0" collapsed="false">
      <c r="A22" s="2" t="s">
        <v>756</v>
      </c>
    </row>
    <row r="23" customFormat="false" ht="15" hidden="false" customHeight="false" outlineLevel="0" collapsed="false">
      <c r="A23" s="19" t="s">
        <v>757</v>
      </c>
    </row>
    <row r="24" customFormat="false" ht="23.85" hidden="false" customHeight="false" outlineLevel="0" collapsed="false">
      <c r="A24" s="4" t="s">
        <v>719</v>
      </c>
      <c r="B24" s="4" t="s">
        <v>750</v>
      </c>
      <c r="C24" s="4" t="s">
        <v>758</v>
      </c>
      <c r="D24" s="4" t="s">
        <v>759</v>
      </c>
      <c r="E24" s="4" t="s">
        <v>760</v>
      </c>
    </row>
    <row r="25" customFormat="false" ht="15" hidden="false" customHeight="false" outlineLevel="0" collapsed="false">
      <c r="A25" s="21" t="s">
        <v>694</v>
      </c>
      <c r="B25" s="29" t="n">
        <f aca="false">G16</f>
        <v>2580</v>
      </c>
      <c r="C25" s="39" t="n">
        <f aca="false">IFERROR(G16/B16,"-")</f>
        <v>0.848684210526316</v>
      </c>
      <c r="D25" s="39" t="n">
        <f aca="false">IF(ISNUMBER(C16),G16/C16,"sem amostra")</f>
        <v>0.645</v>
      </c>
      <c r="E25" s="39" t="n">
        <f aca="false">IF(ISNUMBER(D16),G16/D16,"sem amostra")</f>
        <v>0.496153846153846</v>
      </c>
    </row>
    <row r="26" customFormat="false" ht="15" hidden="false" customHeight="false" outlineLevel="0" collapsed="false">
      <c r="A26" s="21" t="s">
        <v>695</v>
      </c>
      <c r="B26" s="29" t="n">
        <f aca="false">G17</f>
        <v>7960</v>
      </c>
      <c r="C26" s="39" t="n">
        <f aca="false">IFERROR(G17/B17,"-")</f>
        <v>0.900533984976016</v>
      </c>
      <c r="D26" s="39" t="n">
        <f aca="false">IF(ISNUMBER(C17),G17/C17,"sem amostra")</f>
        <v>0.682480708773935</v>
      </c>
      <c r="E26" s="39" t="n">
        <f aca="false">IF(ISNUMBER(D17),G17/D17,"sem amostra")</f>
        <v>0.535452901670398</v>
      </c>
    </row>
    <row r="27" customFormat="false" ht="15" hidden="false" customHeight="false" outlineLevel="0" collapsed="false">
      <c r="A27" s="21" t="s">
        <v>696</v>
      </c>
      <c r="B27" s="29" t="n">
        <f aca="false">G18</f>
        <v>8510</v>
      </c>
      <c r="C27" s="39" t="n">
        <f aca="false">IFERROR(G18/B18,"-")</f>
        <v>0.949755585812817</v>
      </c>
      <c r="D27" s="39" t="n">
        <f aca="false">IF(ISNUMBER(C18),G18/C18,"sem amostra")</f>
        <v>0.498146341463415</v>
      </c>
      <c r="E27" s="39" t="n">
        <f aca="false">IF(ISNUMBER(D18),G18/D18,"sem amostra")</f>
        <v>0.377024123341382</v>
      </c>
    </row>
    <row r="28" customFormat="false" ht="15" hidden="false" customHeight="false" outlineLevel="0" collapsed="false">
      <c r="A28" s="21" t="s">
        <v>697</v>
      </c>
      <c r="B28" s="29" t="n">
        <f aca="false">G19</f>
        <v>3400</v>
      </c>
      <c r="C28" s="39" t="n">
        <f aca="false">IFERROR(G19/B19,"-")</f>
        <v>1.00044311292877</v>
      </c>
      <c r="D28" s="39" t="str">
        <f aca="false">IF(ISNUMBER(C19),G19/C19,"sem amostra")</f>
        <v>sem amostra</v>
      </c>
      <c r="E28" s="39" t="str">
        <f aca="false">IF(ISNUMBER(D19),G19/D19,"sem amostra")</f>
        <v>sem amostra</v>
      </c>
    </row>
    <row r="30" customFormat="false" ht="15" hidden="false" customHeight="false" outlineLevel="0" collapsed="false">
      <c r="A30" s="2" t="s">
        <v>761</v>
      </c>
    </row>
    <row r="31" customFormat="false" ht="15" hidden="false" customHeight="false" outlineLevel="0" collapsed="false">
      <c r="A31" s="19" t="s">
        <v>762</v>
      </c>
    </row>
    <row r="32" customFormat="false" ht="23.85" hidden="false" customHeight="false" outlineLevel="0" collapsed="false">
      <c r="A32" s="4" t="s">
        <v>34</v>
      </c>
      <c r="B32" s="4" t="s">
        <v>745</v>
      </c>
      <c r="C32" s="4" t="s">
        <v>763</v>
      </c>
      <c r="D32" s="4" t="s">
        <v>749</v>
      </c>
      <c r="E32" s="4" t="s">
        <v>750</v>
      </c>
      <c r="F32" s="4" t="s">
        <v>751</v>
      </c>
      <c r="G32" s="4" t="s">
        <v>752</v>
      </c>
      <c r="H32" s="4" t="s">
        <v>753</v>
      </c>
      <c r="I32" s="4" t="s">
        <v>764</v>
      </c>
    </row>
    <row r="33" customFormat="false" ht="15" hidden="false" customHeight="false" outlineLevel="0" collapsed="false">
      <c r="A33" s="21" t="s">
        <v>700</v>
      </c>
      <c r="B33" s="29" t="n">
        <f aca="false">'Resumo por faixa'!F15</f>
        <v>2200</v>
      </c>
      <c r="C33" s="38" t="n">
        <f aca="false">'Resumo por faixa'!B15</f>
        <v>13</v>
      </c>
      <c r="D33" s="37" t="n">
        <v>0.9</v>
      </c>
      <c r="E33" s="29" t="n">
        <f aca="false">ROUND(B33*D33,-1)</f>
        <v>1980</v>
      </c>
      <c r="F33" s="29" t="n">
        <f aca="false">E33*12</f>
        <v>23760</v>
      </c>
      <c r="G33" s="29" t="n">
        <f aca="false">ROUND(F33*$B$8,-1)</f>
        <v>5940</v>
      </c>
      <c r="H33" s="29" t="n">
        <f aca="false">E33*$B$7+G33</f>
        <v>29700</v>
      </c>
      <c r="I33" s="40" t="s">
        <v>765</v>
      </c>
    </row>
    <row r="34" customFormat="false" ht="15" hidden="false" customHeight="false" outlineLevel="0" collapsed="false">
      <c r="A34" s="21" t="s">
        <v>701</v>
      </c>
      <c r="B34" s="29" t="n">
        <f aca="false">'Resumo por faixa'!F16</f>
        <v>4136.23333333333</v>
      </c>
      <c r="C34" s="38" t="n">
        <f aca="false">'Resumo por faixa'!B16</f>
        <v>10</v>
      </c>
      <c r="D34" s="37" t="n">
        <v>0.9</v>
      </c>
      <c r="E34" s="29" t="n">
        <f aca="false">ROUND(B34*D34,-1)</f>
        <v>3720</v>
      </c>
      <c r="F34" s="29" t="n">
        <f aca="false">E34*12</f>
        <v>44640</v>
      </c>
      <c r="G34" s="29" t="n">
        <f aca="false">ROUND(F34*$B$8,-1)</f>
        <v>11160</v>
      </c>
      <c r="H34" s="29" t="n">
        <f aca="false">E34*$B$7+G34</f>
        <v>55800</v>
      </c>
      <c r="I34" s="40" t="s">
        <v>766</v>
      </c>
    </row>
    <row r="35" customFormat="false" ht="15" hidden="false" customHeight="false" outlineLevel="0" collapsed="false">
      <c r="A35" s="21" t="s">
        <v>702</v>
      </c>
      <c r="B35" s="29" t="n">
        <f aca="false">'Resumo por faixa'!F17</f>
        <v>2100</v>
      </c>
      <c r="C35" s="38" t="n">
        <f aca="false">'Resumo por faixa'!B17</f>
        <v>17</v>
      </c>
      <c r="D35" s="37" t="n">
        <v>0.9</v>
      </c>
      <c r="E35" s="29" t="n">
        <f aca="false">ROUND(B35*D35,-1)</f>
        <v>1890</v>
      </c>
      <c r="F35" s="29" t="n">
        <f aca="false">E35*12</f>
        <v>22680</v>
      </c>
      <c r="G35" s="29" t="n">
        <f aca="false">ROUND(F35*$B$8,-1)</f>
        <v>5670</v>
      </c>
      <c r="H35" s="29" t="n">
        <f aca="false">E35*$B$7+G35</f>
        <v>28350</v>
      </c>
      <c r="I35" s="40" t="s">
        <v>767</v>
      </c>
    </row>
    <row r="37" customFormat="false" ht="15" hidden="false" customHeight="false" outlineLevel="0" collapsed="false">
      <c r="A37" s="2" t="s">
        <v>768</v>
      </c>
    </row>
    <row r="38" customFormat="false" ht="15" hidden="false" customHeight="false" outlineLevel="0" collapsed="false">
      <c r="A38" s="19" t="s">
        <v>769</v>
      </c>
    </row>
    <row r="39" customFormat="false" ht="23.85" hidden="false" customHeight="false" outlineLevel="0" collapsed="false">
      <c r="A39" s="4" t="s">
        <v>719</v>
      </c>
      <c r="B39" s="4" t="s">
        <v>750</v>
      </c>
      <c r="C39" s="4" t="s">
        <v>770</v>
      </c>
      <c r="D39" s="4" t="s">
        <v>771</v>
      </c>
      <c r="E39" s="4" t="s">
        <v>772</v>
      </c>
      <c r="F39" s="4" t="s">
        <v>773</v>
      </c>
      <c r="G39" s="4" t="s">
        <v>43</v>
      </c>
    </row>
    <row r="40" customFormat="false" ht="15" hidden="false" customHeight="false" outlineLevel="0" collapsed="false">
      <c r="A40" s="21" t="s">
        <v>694</v>
      </c>
      <c r="B40" s="29" t="n">
        <f aca="false">G16</f>
        <v>2580</v>
      </c>
      <c r="C40" s="29" t="n">
        <f aca="false">G16*(1-$B$9)</f>
        <v>2322</v>
      </c>
      <c r="D40" s="29" t="n">
        <f aca="false">'Resumo por faixa'!D9</f>
        <v>2070.15</v>
      </c>
      <c r="E40" s="29" t="n">
        <f aca="false">'Resumo por faixa'!D34</f>
        <v>4000</v>
      </c>
      <c r="F40" s="29" t="n">
        <f aca="false">'Resumo por faixa'!D56</f>
        <v>2000</v>
      </c>
      <c r="G40" s="31" t="str">
        <f aca="false">IF(C40&lt;D40,"ABAIXO do piso 1Doc",IF(AND(ISNUMBER(E40),C40&lt;E40),"Abaixo do piso Aprova",IF(AND(ISNUMBER(F40),C40&lt;F40),"Abaixo do piso Gove","Acima de todos os pisos")))</f>
        <v>Abaixo do piso Aprova</v>
      </c>
    </row>
    <row r="41" customFormat="false" ht="15" hidden="false" customHeight="false" outlineLevel="0" collapsed="false">
      <c r="A41" s="21" t="s">
        <v>695</v>
      </c>
      <c r="B41" s="29" t="n">
        <f aca="false">G17</f>
        <v>7960</v>
      </c>
      <c r="C41" s="29" t="n">
        <f aca="false">G17*(1-$B$9)</f>
        <v>7164</v>
      </c>
      <c r="D41" s="29" t="n">
        <f aca="false">'Resumo por faixa'!D10</f>
        <v>675</v>
      </c>
      <c r="E41" s="29" t="n">
        <f aca="false">'Resumo por faixa'!D35</f>
        <v>5291.66666666667</v>
      </c>
      <c r="F41" s="29" t="n">
        <f aca="false">'Resumo por faixa'!D57</f>
        <v>9300</v>
      </c>
      <c r="G41" s="31" t="str">
        <f aca="false">IF(C41&lt;D41,"ABAIXO do piso 1Doc",IF(AND(ISNUMBER(E41),C41&lt;E41),"Abaixo do piso Aprova",IF(AND(ISNUMBER(F41),C41&lt;F41),"Abaixo do piso Gove","Acima de todos os pisos")))</f>
        <v>Abaixo do piso Gove</v>
      </c>
    </row>
    <row r="42" customFormat="false" ht="15" hidden="false" customHeight="false" outlineLevel="0" collapsed="false">
      <c r="A42" s="21" t="s">
        <v>696</v>
      </c>
      <c r="B42" s="29" t="n">
        <f aca="false">G18</f>
        <v>8510</v>
      </c>
      <c r="C42" s="29" t="n">
        <f aca="false">G18*(1-$B$9)</f>
        <v>7659</v>
      </c>
      <c r="D42" s="29" t="n">
        <f aca="false">'Resumo por faixa'!D11</f>
        <v>1875</v>
      </c>
      <c r="E42" s="29" t="n">
        <f aca="false">'Resumo por faixa'!D36</f>
        <v>5041.66666666667</v>
      </c>
      <c r="F42" s="29" t="n">
        <f aca="false">'Resumo por faixa'!D58</f>
        <v>13989.1075</v>
      </c>
      <c r="G42" s="31" t="str">
        <f aca="false">IF(C42&lt;D42,"ABAIXO do piso 1Doc",IF(AND(ISNUMBER(E42),C42&lt;E42),"Abaixo do piso Aprova",IF(AND(ISNUMBER(F42),C42&lt;F42),"Abaixo do piso Gove","Acima de todos os pisos")))</f>
        <v>Abaixo do piso Gove</v>
      </c>
    </row>
    <row r="43" customFormat="false" ht="15" hidden="false" customHeight="false" outlineLevel="0" collapsed="false">
      <c r="A43" s="21" t="s">
        <v>697</v>
      </c>
      <c r="B43" s="29" t="n">
        <f aca="false">G19</f>
        <v>3400</v>
      </c>
      <c r="C43" s="29" t="n">
        <f aca="false">G19*(1-$B$9)</f>
        <v>3060</v>
      </c>
      <c r="D43" s="29" t="n">
        <f aca="false">'Resumo por faixa'!D12</f>
        <v>996.988166666667</v>
      </c>
      <c r="E43" s="29" t="s">
        <v>725</v>
      </c>
      <c r="F43" s="29" t="s">
        <v>725</v>
      </c>
      <c r="G43" s="31" t="str">
        <f aca="false">IF(C43&lt;D43,"ABAIXO do piso 1Doc",IF(AND(ISNUMBER(E43),C43&lt;E43),"Abaixo do piso Aprova",IF(AND(ISNUMBER(F43),C43&lt;F43),"Abaixo do piso Gove","Acima de todos os pisos")))</f>
        <v>Acima de todos os pisos</v>
      </c>
    </row>
    <row r="45" customFormat="false" ht="15" hidden="false" customHeight="false" outlineLevel="0" collapsed="false">
      <c r="A45" s="2" t="s">
        <v>774</v>
      </c>
    </row>
    <row r="46" customFormat="false" ht="15" hidden="false" customHeight="false" outlineLevel="0" collapsed="false">
      <c r="A46" s="19" t="s">
        <v>775</v>
      </c>
    </row>
    <row r="47" customFormat="false" ht="23.85" hidden="false" customHeight="false" outlineLevel="0" collapsed="false">
      <c r="A47" s="4" t="s">
        <v>719</v>
      </c>
      <c r="B47" s="4" t="s">
        <v>750</v>
      </c>
      <c r="C47" s="4" t="s">
        <v>776</v>
      </c>
      <c r="D47" s="4" t="s">
        <v>777</v>
      </c>
      <c r="E47" s="4" t="s">
        <v>778</v>
      </c>
      <c r="F47" s="4" t="s">
        <v>724</v>
      </c>
    </row>
    <row r="48" customFormat="false" ht="15" hidden="false" customHeight="false" outlineLevel="0" collapsed="false">
      <c r="A48" s="21" t="s">
        <v>694</v>
      </c>
      <c r="B48" s="29" t="n">
        <f aca="false">G16</f>
        <v>2580</v>
      </c>
      <c r="C48" s="39" t="n">
        <f aca="false">IFERROR(G16/B16,"-")</f>
        <v>0.848684210526316</v>
      </c>
      <c r="D48" s="39" t="n">
        <f aca="false">IF(ISNUMBER(C16),G16/C16,"sem amostra")</f>
        <v>0.645</v>
      </c>
      <c r="E48" s="39" t="n">
        <f aca="false">IF(ISNUMBER(D16),G16/D16,"sem amostra")</f>
        <v>0.496153846153846</v>
      </c>
      <c r="F48" s="31" t="str">
        <f aca="false">IF(NOT(ISNUMBER(E48)),"sem base de comparacao",IF(E48&lt;0.6,"Folga no orcamento municipal","Sem folga aparente"))</f>
        <v>Folga no orcamento municipal</v>
      </c>
    </row>
    <row r="49" customFormat="false" ht="15" hidden="false" customHeight="false" outlineLevel="0" collapsed="false">
      <c r="A49" s="21" t="s">
        <v>695</v>
      </c>
      <c r="B49" s="29" t="n">
        <f aca="false">G17</f>
        <v>7960</v>
      </c>
      <c r="C49" s="39" t="n">
        <f aca="false">IFERROR(G17/B17,"-")</f>
        <v>0.900533984976016</v>
      </c>
      <c r="D49" s="39" t="n">
        <f aca="false">IF(ISNUMBER(C17),G17/C17,"sem amostra")</f>
        <v>0.682480708773935</v>
      </c>
      <c r="E49" s="39" t="n">
        <f aca="false">IF(ISNUMBER(D17),G17/D17,"sem amostra")</f>
        <v>0.535452901670398</v>
      </c>
      <c r="F49" s="31" t="str">
        <f aca="false">IF(NOT(ISNUMBER(E49)),"sem base de comparacao",IF(E49&lt;0.6,"Folga no orcamento municipal","Sem folga aparente"))</f>
        <v>Folga no orcamento municipal</v>
      </c>
    </row>
    <row r="50" customFormat="false" ht="15" hidden="false" customHeight="false" outlineLevel="0" collapsed="false">
      <c r="A50" s="21" t="s">
        <v>696</v>
      </c>
      <c r="B50" s="29" t="n">
        <f aca="false">G18</f>
        <v>8510</v>
      </c>
      <c r="C50" s="39" t="n">
        <f aca="false">IFERROR(G18/B18,"-")</f>
        <v>0.949755585812817</v>
      </c>
      <c r="D50" s="39" t="n">
        <f aca="false">IF(ISNUMBER(C18),G18/C18,"sem amostra")</f>
        <v>0.498146341463415</v>
      </c>
      <c r="E50" s="39" t="n">
        <f aca="false">IF(ISNUMBER(D18),G18/D18,"sem amostra")</f>
        <v>0.377024123341382</v>
      </c>
      <c r="F50" s="31" t="str">
        <f aca="false">IF(NOT(ISNUMBER(E50)),"sem base de comparacao",IF(E50&lt;0.6,"Folga no orcamento municipal","Sem folga aparente"))</f>
        <v>Folga no orcamento municipal</v>
      </c>
    </row>
    <row r="51" customFormat="false" ht="15" hidden="false" customHeight="false" outlineLevel="0" collapsed="false">
      <c r="A51" s="21" t="s">
        <v>697</v>
      </c>
      <c r="B51" s="29" t="n">
        <f aca="false">G19</f>
        <v>3400</v>
      </c>
      <c r="C51" s="39" t="n">
        <f aca="false">IFERROR(G19/B19,"-")</f>
        <v>1.00044311292877</v>
      </c>
      <c r="D51" s="39" t="str">
        <f aca="false">IF(ISNUMBER(C19),G19/C19,"sem amostra")</f>
        <v>sem amostra</v>
      </c>
      <c r="E51" s="39" t="str">
        <f aca="false">IF(ISNUMBER(D19),G19/D19,"sem amostra")</f>
        <v>sem amostra</v>
      </c>
      <c r="F51" s="31" t="str">
        <f aca="false">IF(NOT(ISNUMBER(E51)),"sem base de comparacao",IF(E51&lt;0.6,"Folga no orcamento municipal","Sem folga aparente"))</f>
        <v>sem base de comparacao</v>
      </c>
    </row>
    <row r="54" customFormat="false" ht="15" hidden="false" customHeight="false" outlineLevel="0" collapsed="false">
      <c r="A54" s="2" t="s">
        <v>779</v>
      </c>
    </row>
    <row r="55" customFormat="false" ht="15" hidden="false" customHeight="false" outlineLevel="0" collapsed="false">
      <c r="A55" s="3" t="s">
        <v>780</v>
      </c>
    </row>
    <row r="56" customFormat="false" ht="15" hidden="false" customHeight="false" outlineLevel="0" collapsed="false">
      <c r="A56" s="3" t="s">
        <v>781</v>
      </c>
    </row>
    <row r="57" customFormat="false" ht="15" hidden="false" customHeight="false" outlineLevel="0" collapsed="false">
      <c r="A57" s="3" t="s">
        <v>782</v>
      </c>
    </row>
    <row r="58" customFormat="false" ht="15" hidden="false" customHeight="false" outlineLevel="0" collapsed="false">
      <c r="A58" s="3" t="s">
        <v>783</v>
      </c>
    </row>
    <row r="60" customFormat="false" ht="15" hidden="false" customHeight="false" outlineLevel="0" collapsed="false">
      <c r="A60" s="2" t="s">
        <v>784</v>
      </c>
    </row>
    <row r="61" customFormat="false" ht="15" hidden="false" customHeight="false" outlineLevel="0" collapsed="false">
      <c r="A61" s="3" t="s">
        <v>785</v>
      </c>
    </row>
    <row r="62" customFormat="false" ht="15" hidden="false" customHeight="false" outlineLevel="0" collapsed="false">
      <c r="A62" s="3" t="s">
        <v>786</v>
      </c>
    </row>
    <row r="63" customFormat="false" ht="15" hidden="false" customHeight="false" outlineLevel="0" collapsed="false">
      <c r="A63" s="3" t="s">
        <v>787</v>
      </c>
    </row>
    <row r="64" customFormat="false" ht="15" hidden="false" customHeight="false" outlineLevel="0" collapsed="false">
      <c r="A64" s="3" t="s">
        <v>788</v>
      </c>
    </row>
    <row r="65" customFormat="false" ht="15" hidden="false" customHeight="false" outlineLevel="0" collapsed="false">
      <c r="A65" s="3" t="s">
        <v>789</v>
      </c>
    </row>
    <row r="66" customFormat="false" ht="15" hidden="false" customHeight="false" outlineLevel="0" collapsed="false">
      <c r="A66" s="3" t="s">
        <v>790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2026-09-04T12:48:22Z</dcterms:created>
  <dc:creator>openpyxl</dc:creator>
  <dc:description/>
  <dc:language>en-US</dc:language>
  <cp:lastModifiedBy/>
  <dcterms:modified xsi:type="dcterms:W3CDTF">2026-09-04T13:11:48Z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